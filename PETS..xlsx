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IOS VETERINARIOS " sheetId="1" r:id="rId4"/>
    <sheet state="visible" name="CENTROS MEDICOS " sheetId="2" r:id="rId5"/>
    <sheet state="visible" name="HOSPITAL 24 HORAS" sheetId="3" r:id="rId6"/>
    <sheet state="visible" name="DOMICILIAR" sheetId="4" r:id="rId7"/>
    <sheet state="visible" name="BANHO E TOSA" sheetId="5" r:id="rId8"/>
    <sheet state="visible" name="FUNERÁRIA" sheetId="6" r:id="rId9"/>
    <sheet state="visible" name="CRECHE" sheetId="7" r:id="rId10"/>
  </sheets>
  <definedNames>
    <definedName hidden="1" localSheetId="1" name="_xlnm._FilterDatabase">'CENTROS MEDICOS '!$A$1:$Z$241</definedName>
    <definedName hidden="1" localSheetId="2" name="_xlnm._FilterDatabase">'HOSPITAL 24 HORAS'!$A$1:$Z$441</definedName>
    <definedName hidden="1" localSheetId="3" name="_xlnm._FilterDatabase">DOMICILIAR!$C$1:$C$993</definedName>
    <definedName hidden="1" localSheetId="4" name="_xlnm._FilterDatabase">'BANHO E TOSA'!$C$1:$C$990</definedName>
    <definedName hidden="1" localSheetId="5" name="_xlnm._FilterDatabase">'FUNERÁRIA'!$A$1:$H$44</definedName>
    <definedName hidden="1" localSheetId="6" name="_xlnm._FilterDatabase">CRECHE!$C$1:$C$993</definedName>
  </definedNames>
  <calcPr/>
  <extLst>
    <ext uri="GoogleSheetsCustomDataVersion2">
      <go:sheetsCustomData xmlns:go="http://customooxmlschemas.google.com/" r:id="rId11" roundtripDataChecksum="owd04mV/UdgZ5yESaTYfrGZ4bgaTB7vispzBCX24gWg="/>
    </ext>
  </extLst>
</workbook>
</file>

<file path=xl/sharedStrings.xml><?xml version="1.0" encoding="utf-8"?>
<sst xmlns="http://schemas.openxmlformats.org/spreadsheetml/2006/main" count="5463" uniqueCount="2514">
  <si>
    <t>CLINICA VETERINARIA EL POBLADO SAS</t>
  </si>
  <si>
    <t xml:space="preserve">SERVICIOS QUE OFRECEN </t>
  </si>
  <si>
    <t xml:space="preserve">COSTO </t>
  </si>
  <si>
    <t>CONSULTAS-ESPECIALIDADES</t>
  </si>
  <si>
    <t xml:space="preserve">ORIENTACION VETERINARIA </t>
  </si>
  <si>
    <t>R$180,00</t>
  </si>
  <si>
    <t>CONSULTA DIURNA</t>
  </si>
  <si>
    <t>R$254,00</t>
  </si>
  <si>
    <t>CONSULTA NOCTURNA ( 8PM - 6AM)</t>
  </si>
  <si>
    <t>R$318,00</t>
  </si>
  <si>
    <t xml:space="preserve">URGENCIA  EN CLINICA 24 HORAS </t>
  </si>
  <si>
    <t>R$200,00</t>
  </si>
  <si>
    <t>CONSULTA NEUROLOGICA</t>
  </si>
  <si>
    <t>R$480,00</t>
  </si>
  <si>
    <t>CONSULTA FISIOTERAPEUTICA ( INCLUYE PRIMERA FISIOTERAPIA)</t>
  </si>
  <si>
    <t>R$210,00</t>
  </si>
  <si>
    <t>CONSULTA ORTOPEDICA</t>
  </si>
  <si>
    <t>R$440,00</t>
  </si>
  <si>
    <t>CONSULTA GASTROENTEROLOGIA</t>
  </si>
  <si>
    <t>R$280,00</t>
  </si>
  <si>
    <t>CONSULTA PNEUMOLOGICA</t>
  </si>
  <si>
    <t>R$ 395,00</t>
  </si>
  <si>
    <t>CONSULTA NUTRICIONAL</t>
  </si>
  <si>
    <t>CONSULTA CARDIOLOGICA</t>
  </si>
  <si>
    <t>CONSULTA OFTALMOLOGICA</t>
  </si>
  <si>
    <t>R$ 299,99</t>
  </si>
  <si>
    <t>CONSULTA DERMATOLOGICA</t>
  </si>
  <si>
    <t>R$ 299,00</t>
  </si>
  <si>
    <t>CONSULTA CARDIOLOGICA + ECOCARDIOGRAFIA</t>
  </si>
  <si>
    <t>R$ 159,90 + R$ 240,00</t>
  </si>
  <si>
    <t>CONSULTA CARDIOLOGICA + ELECTROCARDIOGRAFIA</t>
  </si>
  <si>
    <t>R$ 159,90 + R$ 150,00</t>
  </si>
  <si>
    <t>CONSULTA MEDICINA INTERNA</t>
  </si>
  <si>
    <t>R$ 159,90</t>
  </si>
  <si>
    <t>CONSULTA NEFROLOGIA</t>
  </si>
  <si>
    <t>CONSULTA ONCOLOGICA</t>
  </si>
  <si>
    <t>CONSULTA NUTRICIONISTA FORMULACION DE DIETA</t>
  </si>
  <si>
    <t>R$300,00</t>
  </si>
  <si>
    <t>CONSULTA ODONTOLOGICA</t>
  </si>
  <si>
    <t>CONSULTA ENDOCRINOLOGIA</t>
  </si>
  <si>
    <t>EXAMENES</t>
  </si>
  <si>
    <t>PERFIL BASICO (HEMOGRAMA, ALT, CREATININA, UREA, BUN)</t>
  </si>
  <si>
    <t>R$190,00</t>
  </si>
  <si>
    <t>PERFIL HEPATICO PLUS ( ALP, ALT, AST,BUN, UREA, TP,GLOBULINAS,RELACION A/G,TBIL,BA,CHOL,GGT)</t>
  </si>
  <si>
    <t>R$270,00</t>
  </si>
  <si>
    <t>PERFIL RENAL ( UREA, BUN,CREA,ALBUMINA,FOSFORO,CA,NA,K,CL,TCO2,AGA,NA/K)</t>
  </si>
  <si>
    <t>PERFIL DIAGNOSTICO PLUS ( ALP,ALT,BUN,UREA,CREA,GLU,TP,GLOBULINA, ALBUMINA, RELACION A/G,TBIL,FOS,CA,NA,K,AMILASA)</t>
  </si>
  <si>
    <t>R$502,00</t>
  </si>
  <si>
    <t>HEMOGRAMA</t>
  </si>
  <si>
    <t>R$ 100,00</t>
  </si>
  <si>
    <t>ALBUMINA</t>
  </si>
  <si>
    <t>R$30,00</t>
  </si>
  <si>
    <t>PRUEBA PCR</t>
  </si>
  <si>
    <t>R$670,00</t>
  </si>
  <si>
    <t>COPROLOGICO</t>
  </si>
  <si>
    <t>R$65,00</t>
  </si>
  <si>
    <t>COPROLOGICO SERIADO X3</t>
  </si>
  <si>
    <t>R$70,00</t>
  </si>
  <si>
    <t>CREATININA</t>
  </si>
  <si>
    <t>CITOQUIMICO</t>
  </si>
  <si>
    <t>PRUEBA EHRLICHIA CANIS</t>
  </si>
  <si>
    <t>TIEMPOS DE COAGULACION (TP Y TPT)</t>
  </si>
  <si>
    <t>R$90,00</t>
  </si>
  <si>
    <t>IONOGRAMA PLUS ( SODIO, CLORO, POTASIO)</t>
  </si>
  <si>
    <t>R$450,00</t>
  </si>
  <si>
    <t>ANALISIS DE LIQUIDO</t>
  </si>
  <si>
    <t>ECOGRAFIA</t>
  </si>
  <si>
    <t>R$ 240,00</t>
  </si>
  <si>
    <t>RADIOGRAFIA SIMPLE 3 TOMAS</t>
  </si>
  <si>
    <t>R$190,0</t>
  </si>
  <si>
    <t>CITOLOGIA DE OIDO</t>
  </si>
  <si>
    <t>CITOLOGIA PAAF</t>
  </si>
  <si>
    <t>R$150,00</t>
  </si>
  <si>
    <t>CITOLOGIA VAGINAL</t>
  </si>
  <si>
    <t>CITOLOGIA</t>
  </si>
  <si>
    <t>R$50,00</t>
  </si>
  <si>
    <t>CITOLOGIA DE PIEL</t>
  </si>
  <si>
    <t>CITOLOGIA DE OIDO BILATERAL</t>
  </si>
  <si>
    <t>MEDICAMENTOS</t>
  </si>
  <si>
    <t>CERENIA INYECTABLE X ML</t>
  </si>
  <si>
    <t>R$130,00 A R$280,00</t>
  </si>
  <si>
    <t>TRAMADOL 100 MG INYECTABLE AMPOLLA X 2ML</t>
  </si>
  <si>
    <t>R$105,00 A R$130,00</t>
  </si>
  <si>
    <t>COLIVET/ DIPIRONA INYECTABLE X ML</t>
  </si>
  <si>
    <t>DEXAMETASONA INYECTABLE X ML</t>
  </si>
  <si>
    <t>R$20,00 A R$100,00</t>
  </si>
  <si>
    <t>TENAFLOX/METRONIDAZOL INYECTABLE X 100 ML</t>
  </si>
  <si>
    <t>R$136,00</t>
  </si>
  <si>
    <t>METOCLOPRAMIDA INYECTABLE AMPOLLA X 2ML</t>
  </si>
  <si>
    <t>AMPICILINA 1 GR INYECTABLE FRASCO X 5 ML</t>
  </si>
  <si>
    <t>CEFALEXINA 200 MG INYECTABLE 1 ML</t>
  </si>
  <si>
    <t>OXITETRACICLINA INYECTABLE X ML</t>
  </si>
  <si>
    <t>DOXICICLINA INYECTABLE X ML</t>
  </si>
  <si>
    <t>MELOXIC INYECTABLE 0.5% y 2% X ML</t>
  </si>
  <si>
    <t>ONDANSETRON INYECTABLE AMPOLLA 8 MG X 4ML</t>
  </si>
  <si>
    <t xml:space="preserve">RANITIDINA INYECTABLE X ML </t>
  </si>
  <si>
    <t>UNICLAV/AMOXICILINA INYECTABLE 14% X ML</t>
  </si>
  <si>
    <t>OMEPRAZOL INYECTABLE X AMPOLLA</t>
  </si>
  <si>
    <t>VACUNAS</t>
  </si>
  <si>
    <t>VACUNA RECOMBITEK C6/CV</t>
  </si>
  <si>
    <t>VACUNA RECOMBITEK C3 PARVO + CORONA</t>
  </si>
  <si>
    <t>VACUNA FELIGEN CRP X DOSIS TRIPLE FELINA</t>
  </si>
  <si>
    <t>R$110,00</t>
  </si>
  <si>
    <t xml:space="preserve">VACUNA FELINA LEUCOGEN </t>
  </si>
  <si>
    <t>VACUNA FELIGEN CRP/R X DOSIS TRIPLE FELINA + RABIA</t>
  </si>
  <si>
    <t>VACUNA RABISIN UNIDOSIS X 1 ML MERIAL</t>
  </si>
  <si>
    <t>R$100,00</t>
  </si>
  <si>
    <t>HEMOVACUNA</t>
  </si>
  <si>
    <t>R$120,00</t>
  </si>
  <si>
    <t>VACUNA NOBIVAC KC ORAL</t>
  </si>
  <si>
    <t>R$80,00</t>
  </si>
  <si>
    <t>MICROCHIP IDENTIFICACION</t>
  </si>
  <si>
    <t>TEST DE MOQUILLO</t>
  </si>
  <si>
    <t>R$129,00</t>
  </si>
  <si>
    <t>TEST DE PARVO + CORONA</t>
  </si>
  <si>
    <t>R$160,00</t>
  </si>
  <si>
    <t xml:space="preserve">TEST DE SIDA Y LEUCEMIA </t>
  </si>
  <si>
    <t>BAÑOS</t>
  </si>
  <si>
    <t>BAÑO RAZA PEQUEÑA</t>
  </si>
  <si>
    <t>R$85,00</t>
  </si>
  <si>
    <t>BAÑO RAZA MEDIANA</t>
  </si>
  <si>
    <t>R$95,00</t>
  </si>
  <si>
    <t>BAÑOP RAZA GRANDE</t>
  </si>
  <si>
    <t>R$140,00</t>
  </si>
  <si>
    <t>BAÑO MEDICADO , TODAS LAS RAZAS</t>
  </si>
  <si>
    <t>R$50,00 ATÉ R$200,00</t>
  </si>
  <si>
    <t>PIPETAS ANTIPULGAS</t>
  </si>
  <si>
    <t>R$97,00</t>
  </si>
  <si>
    <t>EXEQUIAS CON DEVOLUCION CENIZAS/SIN DEVOLUCION</t>
  </si>
  <si>
    <t>R$350,00 COLETIVA / R$800,00  IND.</t>
  </si>
  <si>
    <t xml:space="preserve">EUTANASIA </t>
  </si>
  <si>
    <t>A PARTIR DE R$500,00</t>
  </si>
  <si>
    <t xml:space="preserve">ADIESTRAMIENTO CANINO </t>
  </si>
  <si>
    <t>A PARTIR DE R$1000,00</t>
  </si>
  <si>
    <t xml:space="preserve">GUARDERIA </t>
  </si>
  <si>
    <t>A PARTIR DE R$150,00</t>
  </si>
  <si>
    <t>KIT DE CUMPLEAÑOS</t>
  </si>
  <si>
    <t xml:space="preserve">ESTERILIZACION </t>
  </si>
  <si>
    <t>A PARTIR DE R$1800,00</t>
  </si>
  <si>
    <t>PROFILAXIS</t>
  </si>
  <si>
    <t>NOME</t>
  </si>
  <si>
    <t>TELEFONE</t>
  </si>
  <si>
    <t xml:space="preserve">ESTADO </t>
  </si>
  <si>
    <t>CIDADE</t>
  </si>
  <si>
    <t>VALOR DA CONSULTA</t>
  </si>
  <si>
    <t>CHAVE PIX</t>
  </si>
  <si>
    <t>ENDEREÇO</t>
  </si>
  <si>
    <t>OBSERVAÇÃO</t>
  </si>
  <si>
    <t>Veterinária Búzios</t>
  </si>
  <si>
    <t>RJ</t>
  </si>
  <si>
    <t>BUZIOS</t>
  </si>
  <si>
    <t>CNPJ</t>
  </si>
  <si>
    <t>Av. José Bento Ribeiro Dantas, 2333 - Manguinhos, Búzios - RJ, 28950-000</t>
  </si>
  <si>
    <t>Seg 09h às 18h / terç a sáb 08h as 18h / Dom 09h as 12h</t>
  </si>
  <si>
    <t>Fisio Care Pet Morumbi - Fisioterapia, Ortopedia, Neurologia, Ozonioterapia e Acupuntura Veterinária</t>
  </si>
  <si>
    <t>SP</t>
  </si>
  <si>
    <t>SÃO PAULO</t>
  </si>
  <si>
    <t>Rua Correggio, 25 - Vila Suzana, São Paulo - SP, 05630-020</t>
  </si>
  <si>
    <t>Seg a sex 08h as 20h / Sab 08h as 18h</t>
  </si>
  <si>
    <t>Clínica Veterinária VETPOP I Veterinário em Palhoça</t>
  </si>
  <si>
    <t>SC</t>
  </si>
  <si>
    <t>PALHOÇA</t>
  </si>
  <si>
    <t>QRCODE</t>
  </si>
  <si>
    <t>R. Nossa Sra. Aparecida, 493 - Jardim Eldorado, Palhoça - SC, 88133-400</t>
  </si>
  <si>
    <t>Seg a Sex 08h as 21h / Sábado 08h as 12h</t>
  </si>
  <si>
    <t>Clínica Braz Vet - Justinópolis</t>
  </si>
  <si>
    <t>MG</t>
  </si>
  <si>
    <t>RIBEIRÃO DAS NEVES</t>
  </si>
  <si>
    <t>Av. Denise Cristina da Rocha, 1585 - Centro de Justinópolis, Ribeirão das Neves - MG, 33900-702</t>
  </si>
  <si>
    <t>Veterinarii Recife</t>
  </si>
  <si>
    <t>PE</t>
  </si>
  <si>
    <t>RECIFE</t>
  </si>
  <si>
    <t>Av. Rui Barbosa, 735 - Graças, Recife - PE, 52011-040</t>
  </si>
  <si>
    <t>Todos os dias de 7h às 21:30h</t>
  </si>
  <si>
    <t>CVI - Centro Veterinário Integrado Atibaia</t>
  </si>
  <si>
    <t>551144123672 / 11972631158</t>
  </si>
  <si>
    <t xml:space="preserve">SÃO PAULO </t>
  </si>
  <si>
    <t>Alameda Prof. Lucas Nogueira Garcez, 2972 - Jardim Paulista, Atibaia - SP, 12942-000</t>
  </si>
  <si>
    <t>Seg a sex 08:30h as 17h / Sab 08:30h as 14:30h</t>
  </si>
  <si>
    <t>Clinveti - Clínica Veterinária Ilhéus</t>
  </si>
  <si>
    <t>BA</t>
  </si>
  <si>
    <t>ILHEUS</t>
  </si>
  <si>
    <t>CELULAR</t>
  </si>
  <si>
    <t>R. Esmeraldo de Sá Vieira, 799 - Conquista, Ilhéus - BA, 45650-570</t>
  </si>
  <si>
    <t>Seg a sex 08h as 17h / Sab 08h as 12h</t>
  </si>
  <si>
    <t>Clínica Veterinária Pet village porto</t>
  </si>
  <si>
    <t>IPOJUCA</t>
  </si>
  <si>
    <t>R. do Pantanal Um Ou Estrada de Maracaípe, 8 - Porto de Galinhas, Ipojuca - PE, 55590-000</t>
  </si>
  <si>
    <t>Seg a sex 08h as 18h / Sab 08h as 14h</t>
  </si>
  <si>
    <t>Bicho de Raça - Apenas as terças-feiras</t>
  </si>
  <si>
    <t>R$60,00</t>
  </si>
  <si>
    <t>Rua da, R. Subida do Clube, Número 22 - CENTRO, Ipojuca - PE, 55590-000</t>
  </si>
  <si>
    <t xml:space="preserve"> Apenas as terças-feiras de 08h às 17:30h</t>
  </si>
  <si>
    <t>Clínica Veterinária Curitiba</t>
  </si>
  <si>
    <t>PR</t>
  </si>
  <si>
    <t>CURITIBA</t>
  </si>
  <si>
    <t>CPF</t>
  </si>
  <si>
    <t>Rua Myltho Anselmo da Silva, 1004 - Mercês, Curitiba - PR, 80520-230</t>
  </si>
  <si>
    <t>Seg a sex 07:30h as 18:30h / Sab 09h as 17h</t>
  </si>
  <si>
    <t>Qualityvet Assistência Veterinária</t>
  </si>
  <si>
    <t>PB</t>
  </si>
  <si>
    <t>JOÃO PESSOA</t>
  </si>
  <si>
    <t>Av. Espírito Santo, 847 - Estados, João Pessoa - PB, 58030-110</t>
  </si>
  <si>
    <t>Seg a sex 08:00h as 18:00h / Sab 08h as 16h</t>
  </si>
  <si>
    <t>Clínica Veterinária São Francisco | Pet Shop na Aldeota</t>
  </si>
  <si>
    <t>CE</t>
  </si>
  <si>
    <t>FORTALEZA</t>
  </si>
  <si>
    <t xml:space="preserve">R$200,00 </t>
  </si>
  <si>
    <t>Av. Barão de Studart, 900 - Aldeota, Fortaleza - CE, 60120-020</t>
  </si>
  <si>
    <t>Seg a sex 07h as 19h / Sab 07h as 18h</t>
  </si>
  <si>
    <t xml:space="preserve">Clínica Veterinária Vida Pet
</t>
  </si>
  <si>
    <t>55 27997228021</t>
  </si>
  <si>
    <t>ES</t>
  </si>
  <si>
    <t xml:space="preserve">Serra </t>
  </si>
  <si>
    <t xml:space="preserve">R. Mario de Andrade, 32 - São Diogo ISerra - ES, 29163-270 </t>
  </si>
  <si>
    <t xml:space="preserve">Seg a sab de 8 as 19:30 - </t>
  </si>
  <si>
    <t xml:space="preserve">Quality Especialidades Veterinárias </t>
  </si>
  <si>
    <t>(27) 99526-8853 ou (27) 2142-3402</t>
  </si>
  <si>
    <t>Vitória</t>
  </si>
  <si>
    <t>R$ 140,00</t>
  </si>
  <si>
    <t xml:space="preserve">R. José Guilherme Neffa, 140 - Jardim Camburi, Vitória - ES, 29092-070
</t>
  </si>
  <si>
    <t>horário comercial das 08h às 18h</t>
  </si>
  <si>
    <t xml:space="preserve">Clínica Veterinária PetSafe
</t>
  </si>
  <si>
    <t>Cariacica</t>
  </si>
  <si>
    <t>R$ 80,00 OU  150,00.</t>
  </si>
  <si>
    <t xml:space="preserve">CNPJ </t>
  </si>
  <si>
    <t xml:space="preserve">R. Vicente Celestino, 32 - Campo Grande, Cariacica - ES, 29146-450
</t>
  </si>
  <si>
    <t>Segunda a sábado (8:00 as 18:00) o valor da consulta é R$ 80,00
Após as 18:00, domingos e feriados o valor da consulta é R$ 150,00.
CHAVE PIX 28.267.881/0001-20</t>
  </si>
  <si>
    <t xml:space="preserve">Clínica Veterinária Bicho Legal
</t>
  </si>
  <si>
    <t>62 8521-4041</t>
  </si>
  <si>
    <t>GO</t>
  </si>
  <si>
    <t xml:space="preserve">Goiânia </t>
  </si>
  <si>
    <t>R$80,00 / R$ 100,00 / R$ 150,00</t>
  </si>
  <si>
    <t xml:space="preserve">CELULAR </t>
  </si>
  <si>
    <t>Av. Rio Negro, 730 - Parque Amazonia, Goiânia - GO, 74840-520</t>
  </si>
  <si>
    <t>Seg a Sexta 07:00 as 18:00 - R$80,00
18:00 as 20:00 - R$ 100,00
Sábado, Domingo e feriados 8:00 as 18:00 - R$150,00
CHAVE PIX 62985214041</t>
  </si>
  <si>
    <t>Pet Ville Premium Pet Shop e Clínica Veterinária 24hs, 
Cirurgia, Castração pets, Ortopedista Veterinária, Exames Veterinário</t>
  </si>
  <si>
    <t>62 9833-5947</t>
  </si>
  <si>
    <t>R$ 170,00 OU R$ 250,00</t>
  </si>
  <si>
    <t xml:space="preserve">R. 119, 177 - St. Sul, Goiânia - GO, 74085-420
</t>
  </si>
  <si>
    <t>8h as 18h 170,00 | Após as 18h plantão 250,00</t>
  </si>
  <si>
    <t>Pet Mania</t>
  </si>
  <si>
    <t>SE</t>
  </si>
  <si>
    <t>ARACAJU</t>
  </si>
  <si>
    <t xml:space="preserve">R$150,00 </t>
  </si>
  <si>
    <t>690 Avenida Doutor Edésio Vieira de, Av. Dr. Edelzio Vieira de Melo - Suíça, Aracaju - SE, 49052-240</t>
  </si>
  <si>
    <t>Seg a sex 08h as 17h / Sab 08h as 13h</t>
  </si>
  <si>
    <t>Animal Amigo</t>
  </si>
  <si>
    <t>AL</t>
  </si>
  <si>
    <t>MACEIÓ</t>
  </si>
  <si>
    <t>Av. Dr. Antônio Gomes de Barros, 1176 - Jatiúca, Maceió - AL, 57036-000</t>
  </si>
  <si>
    <t>Seg a sex 08h as 18h / Sab 08h as 12h</t>
  </si>
  <si>
    <t>Saúde Animal Clinica Veterinária e Pet Shop</t>
  </si>
  <si>
    <t>R. Princesa Isabel, 254 - Farol, Maceió - AL, 57051-520</t>
  </si>
  <si>
    <t>Centrovet - Unidade Centro (TODOS OS ESPECIALISTAS)</t>
  </si>
  <si>
    <t>A PARTIR DE R$260,00</t>
  </si>
  <si>
    <t>R. França Morel, 164 - Centro, Maceió - AL, 57020-560</t>
  </si>
  <si>
    <t>Kennel Veterinária</t>
  </si>
  <si>
    <t>R. Cel. Adauto Gomes Barbosa, 543 - Poço, Maceió - AL, 57025-263</t>
  </si>
  <si>
    <t>Clínica Veterinária Mon Petit</t>
  </si>
  <si>
    <t>BLUMENAU</t>
  </si>
  <si>
    <t>R. Richard Holetz, 51 - Bom Retiro, Blumenau - SC, 89010-550</t>
  </si>
  <si>
    <t>Seg a sex 07h as 00h / Sab 08h as 12h</t>
  </si>
  <si>
    <t>VETLONDRI - Laboratório de Análises Clínicas Veterinárias</t>
  </si>
  <si>
    <t>LONDRINA</t>
  </si>
  <si>
    <t>R. Sen. Souza Naves, 1511 - Centro, Londrina - PR, 86010-160</t>
  </si>
  <si>
    <t xml:space="preserve">Seg a Sáb 08:30h as 18h </t>
  </si>
  <si>
    <t>Clínica Veterinária Clivepar</t>
  </si>
  <si>
    <t>Av. Maringá, 790 - Jardim Vitória, Londrina - PR, 86060-000</t>
  </si>
  <si>
    <t>Seg a sex 08:30h as 18h / Sab 08:30H as 12h</t>
  </si>
  <si>
    <t>Praiavet Clínica Veterinária</t>
  </si>
  <si>
    <t>Av. Nego, 77 - Tambaú, João Pessoa - PB, 58039-100</t>
  </si>
  <si>
    <t>Seg a sex 08h as 18h / Sab 08H as 12h</t>
  </si>
  <si>
    <t>Nutrivet - Pet Shop</t>
  </si>
  <si>
    <t>R$130,00</t>
  </si>
  <si>
    <t>R. Geraldo Costa, 624 - Sala 104 - Manaíra, João Pessoa - PB, 58038-340</t>
  </si>
  <si>
    <t xml:space="preserve">Seg a Sáb 08h as 18h </t>
  </si>
  <si>
    <t>Pet Saúde Clínica Veterinária e Pet Shop</t>
  </si>
  <si>
    <t>Av. Pres. Epitácio Pessoa, 2373 - Estados, João Pessoa - PB, 58030-002</t>
  </si>
  <si>
    <t>Seg a sex 07h as 18h / Sab 07H as 17h</t>
  </si>
  <si>
    <r>
      <rPr>
        <rFont val="Calibri"/>
        <color rgb="FF000000"/>
        <sz val="12.0"/>
      </rPr>
      <t xml:space="preserve">Odontovet - Centro </t>
    </r>
    <r>
      <rPr>
        <rFont val="Calibri"/>
        <b/>
        <color rgb="FF000000"/>
        <sz val="12.0"/>
      </rPr>
      <t xml:space="preserve">Odontológico </t>
    </r>
    <r>
      <rPr>
        <rFont val="Calibri"/>
        <color rgb="FF000000"/>
        <sz val="12.0"/>
      </rPr>
      <t>Veterinário</t>
    </r>
  </si>
  <si>
    <t>R$400,00</t>
  </si>
  <si>
    <t>Av. Magalhães de Castro, 12 - Butantã, São Paulo - SP, 05502-000</t>
  </si>
  <si>
    <t xml:space="preserve">Seg a Sex 08h as 17h </t>
  </si>
  <si>
    <t>Clivepa - Clínica Veterinária do Pará Ltda. Mais de 50 anos cuidando da saúde de pets.</t>
  </si>
  <si>
    <t>PA</t>
  </si>
  <si>
    <t>BELÉM</t>
  </si>
  <si>
    <t>R. Ó de Almeida, 186 - Campina, Belém - PA, 66017-050</t>
  </si>
  <si>
    <t>Todos os dias de 8h às 22h</t>
  </si>
  <si>
    <t>Clínica Veterinária Melhor Amigo</t>
  </si>
  <si>
    <t>PORTO SEGURO</t>
  </si>
  <si>
    <t>Av. Pero Vaz de Caminha, 487 - Centro, Porto Seguro - BA, 45810-000</t>
  </si>
  <si>
    <t>Seg a Sex 08h às 18h</t>
  </si>
  <si>
    <t>Novavet Trancoso Clínica Veterinária</t>
  </si>
  <si>
    <t>R. Tancredo Neves, 418 - Trancoso, Porto Seguro - BA, 45818-000</t>
  </si>
  <si>
    <t>Seg a sex 09h as 18h / Sab 09H as 13h</t>
  </si>
  <si>
    <t>EspaçoPet</t>
  </si>
  <si>
    <t>R. Saldanha Marinho, 77 - Centro, Porto Seguro - BA, 45810-000</t>
  </si>
  <si>
    <t>Porto Vet Clínica Veterinária</t>
  </si>
  <si>
    <t>Av. Bahia, 991 - Mundai, Porto Seguro - BA, 45810-000</t>
  </si>
  <si>
    <t>Seg a sex 09h as 17h / Sab 09H as 12h</t>
  </si>
  <si>
    <t>Clínica Veterinária Alpha Vet</t>
  </si>
  <si>
    <t>FEIRA DE SANTANA</t>
  </si>
  <si>
    <t>R. Monsenhor Aderbal Miranda, 804 - Brasília, Feira de Santana - BA, 44088-180</t>
  </si>
  <si>
    <t>Seg a sex 07h as 18h / Sab 07H as 13h</t>
  </si>
  <si>
    <t>Hospital Veterinário Feira de Santana</t>
  </si>
  <si>
    <t>R$85 / R$120,00</t>
  </si>
  <si>
    <t>Av. João Durval Carneiro, 2985 - São JOÃO, Feira de Santana - BA, 44051-605</t>
  </si>
  <si>
    <t>Seg a sex 08h as 20h / Sab e Dom. 08H as 16h</t>
  </si>
  <si>
    <t>CLÍNICA VETERINÁRIA PETVET JÚNIOR</t>
  </si>
  <si>
    <t>R. João Rufino de Souza, 73 - Nossa Sra. do O, Ipojuca - PE, 55592-262</t>
  </si>
  <si>
    <t xml:space="preserve">Seg a Sáb 08h as 19h </t>
  </si>
  <si>
    <t>Clínica Veterinária Pet Saúde</t>
  </si>
  <si>
    <t>Av. Antônio Sales, 1441 - Aldeota, Fortaleza - CE, 60135-101</t>
  </si>
  <si>
    <t>Seg a sex 07h as 17:30h / Sab 07H as 15h</t>
  </si>
  <si>
    <t>Par de Patas - Centro Veterinário</t>
  </si>
  <si>
    <t>R. Rev. Bolivar Pinto Bandeira, 136 - Eng. Luciano Cavalcante, Fortaleza - CE, 60811-310</t>
  </si>
  <si>
    <t>Seg a sex 07:30h as 17:30h / Sab 07H as 15h</t>
  </si>
  <si>
    <t>Veterinária São Francisco</t>
  </si>
  <si>
    <t>MA</t>
  </si>
  <si>
    <t>SÃO LUIZ</t>
  </si>
  <si>
    <t>Av. dos Franceses, 70 - Vila Ivar Saldanha, São Luís - MA, 65036-280</t>
  </si>
  <si>
    <t>Seg a Sáb. 08h as 19h / Dom 08H as 12h</t>
  </si>
  <si>
    <t>Pets Home Veterinária</t>
  </si>
  <si>
    <t>Av. da História, 2151-2029 - Cohafuma, São Luís - MA, 65074-795</t>
  </si>
  <si>
    <t>Seg a Sex. 08h as 19h / Sáb e Dom. 08H as 17h</t>
  </si>
  <si>
    <t>Vila Animal Centro Veterinário</t>
  </si>
  <si>
    <t>FLORIANÓPOLIS</t>
  </si>
  <si>
    <t>R$185,00</t>
  </si>
  <si>
    <t>R. Maestro Aldo Krieger, 54 - Loja 03 - Córrego Grande, Florianópolis - SC, 88037-500</t>
  </si>
  <si>
    <t>Seg a sex 08h as 18h / Sab 09H as 12h</t>
  </si>
  <si>
    <t>ProntoVet Clínica e Oftalmologia Veterinária</t>
  </si>
  <si>
    <t>R$220,00</t>
  </si>
  <si>
    <t>Av. Mauro Ramos, 1449 - Centro, Florianópolis - SC, 88020-303</t>
  </si>
  <si>
    <t>Chubaci Clínica Veterinária de Cirurgias, Castração e Vacinação em Florianópolis</t>
  </si>
  <si>
    <t>Rodovia Dr. Antônio Luiz Moura Gonzaga, 3126 - Rio Tavares, Florianópolis - SC, 88048-301</t>
  </si>
  <si>
    <t>Seg a sex 09h as 18h</t>
  </si>
  <si>
    <t>Vet em Casa Floripa - Atendimento Veterinário</t>
  </si>
  <si>
    <t>R$120,00 / DOMICILIAR R$220,00</t>
  </si>
  <si>
    <t>Rod. Baldicero Filomeno, 183 - Ribeirão da Ilha, Florianópolis - SC, 88064-001</t>
  </si>
  <si>
    <t>Seg a sex 08h as 19:30h / Sab 08H as 13h</t>
  </si>
  <si>
    <t>Clínica Veterinária Cane</t>
  </si>
  <si>
    <t>ARAPIRACA</t>
  </si>
  <si>
    <t>R. São João, 546 - Caititus, Arapiraca - AL, 57311-225</t>
  </si>
  <si>
    <t>Seg a Sáb 08h as 20h</t>
  </si>
  <si>
    <t>Centro Veterinário Gustavo Rocha</t>
  </si>
  <si>
    <t>R. Florêncio Apolinário, 143 - Alto do Cruzeiro, Arapiraca - AL, 57312-440</t>
  </si>
  <si>
    <t>Espaço Animal Clinica Veterinária</t>
  </si>
  <si>
    <t>R. Dom Jonas Batinga, 40 - Ouro Preto, Arapiraca - AL, 57301-130</t>
  </si>
  <si>
    <t>Seg a sex 08h as 18h / Sab 08H as 14h</t>
  </si>
  <si>
    <t>Vet Arapiraca</t>
  </si>
  <si>
    <t>R. Samaritana, 508 - Caititus, Arapiraca - AL, 57311-185</t>
  </si>
  <si>
    <t>CLÍNICA VETERINÁRIA BICHOS GERAIS UNIDADE PATRIARCA</t>
  </si>
  <si>
    <t>BELO HORIZONTE</t>
  </si>
  <si>
    <t xml:space="preserve">R$90,00 </t>
  </si>
  <si>
    <t>Rua do Patriarca, 867 - Ipiranga, Belo Horizonte - MG, 31160-180</t>
  </si>
  <si>
    <t>Seg a Sex. 08h as 21h / Sáb 08H às 19h e Dom. 09H as 17h</t>
  </si>
  <si>
    <t>Clínica Veterinária Vida Animal</t>
  </si>
  <si>
    <t>Rua Meyer, 102 - Alto Caiçaras, Belo Horizonte - MG, 30775-070</t>
  </si>
  <si>
    <t>Seg a Sex. 08h as 21h / Sáb 08H às 18h e Dom. 08H as 13h</t>
  </si>
  <si>
    <t>Auma Pet - Clínica Veterinária 24h</t>
  </si>
  <si>
    <t>RS</t>
  </si>
  <si>
    <t>PORTO ALEGRE</t>
  </si>
  <si>
    <t>R. Saldanha Marinho, 56 - Menino Deus, Porto Alegre - RS, 90160-240</t>
  </si>
  <si>
    <t>horario comercial das 08h00 as 20h00</t>
  </si>
  <si>
    <t>BICHO MANIA</t>
  </si>
  <si>
    <t xml:space="preserve">RS </t>
  </si>
  <si>
    <t>R$195,00</t>
  </si>
  <si>
    <t>Rua Dom Pedro II, 1241, Higienópolis - Porto Alegre/RS</t>
  </si>
  <si>
    <t xml:space="preserve">R$250,00 emergência | R$170,00 com horário agendado das 8:00h às 19:00h </t>
  </si>
  <si>
    <r>
      <rPr>
        <rFont val="Calibri"/>
        <color rgb="FF000000"/>
        <sz val="12.0"/>
      </rPr>
      <t>Consultório Veterinário Medicina</t>
    </r>
    <r>
      <rPr>
        <rFont val="Calibri"/>
        <b/>
        <color rgb="FF000000"/>
        <sz val="12.0"/>
      </rPr>
      <t xml:space="preserve"> Felina</t>
    </r>
  </si>
  <si>
    <t>ILHABELA</t>
  </si>
  <si>
    <t>R. Benedito dos Santos Sampaio, 155 - Barra Velha, Ilhabela - SP, 11630-000</t>
  </si>
  <si>
    <t>Seg a sex 08h as 18h</t>
  </si>
  <si>
    <t>Clínica Veterinária Casa do Bicho</t>
  </si>
  <si>
    <t>ILHÉUS</t>
  </si>
  <si>
    <t>Av. Lomanto Júnior, 950 - Pontal, Ilhéus - BA, 45654-000</t>
  </si>
  <si>
    <t>Seg a Sex. 08h as 21h / Sáb e Dom. 08H as 17h</t>
  </si>
  <si>
    <r>
      <rPr>
        <rFont val="Calibri"/>
        <color rgb="FF000000"/>
        <sz val="12.0"/>
      </rPr>
      <t xml:space="preserve">Amor de Bicho - </t>
    </r>
    <r>
      <rPr>
        <rFont val="Calibri"/>
        <b/>
        <color rgb="FF000000"/>
        <sz val="12.0"/>
      </rPr>
      <t>DERMATOLOGISTA</t>
    </r>
  </si>
  <si>
    <t>Av. Getúlio Vargas, 1384 - Pontal, Ilhéus - BA, 45654-001</t>
  </si>
  <si>
    <t>Clinivet Clínica Veterinária</t>
  </si>
  <si>
    <t>JOINVILLE</t>
  </si>
  <si>
    <t>R. Joaquim André de Sá, 139 - Bucarein, Joinville - SC, 89202-220</t>
  </si>
  <si>
    <t>Vet Silva Clínica Veterinária</t>
  </si>
  <si>
    <t>R. Ramiro Bueno da Rocha, 33 - Boehmerwald, Joinville - SC, 89232-320</t>
  </si>
  <si>
    <t>Clínica Veterinária Bichos do Bairro</t>
  </si>
  <si>
    <t>R. Vice-Prefeito Ivan Rodrigues, 7278 - Jardim Iririú, Joinville - SC, 89225-600</t>
  </si>
  <si>
    <t>Seg a sex 07:30h as 18:30h / Sab 07:30H as 13:30h</t>
  </si>
  <si>
    <t>Villa di Patas Clínica Veterinária</t>
  </si>
  <si>
    <t>R. Marquês de Maricá, 478 - Vila Nova, Joinville - SC, 89237-340</t>
  </si>
  <si>
    <t>Seg a sex 08h as 19h / Sab 08H as 12h</t>
  </si>
  <si>
    <t>Auquimia Clínica Veterinária</t>
  </si>
  <si>
    <t>R. Braço do Norte, 710 - Atiradores, Joinville - SC, 89203-030</t>
  </si>
  <si>
    <t>Seg a sex 08h as 18:30h / Sab 08H as 12h</t>
  </si>
  <si>
    <t>Animal Center Clinica Veterinaria</t>
  </si>
  <si>
    <t>MS</t>
  </si>
  <si>
    <t>ANASTÁCIO</t>
  </si>
  <si>
    <t>Av. Manoel Murtinho, 1288 - Setor, Anastácio - MS, 79210-000</t>
  </si>
  <si>
    <t>Seg a sex 07:30h as 18:30h / Sab 07:30H as 13h</t>
  </si>
  <si>
    <t>Vet Company Clínica Veterinária</t>
  </si>
  <si>
    <t>JARDIM</t>
  </si>
  <si>
    <t>Av. 11 de Dezembro, numero 1320 - Jardim, MS, 79240-000</t>
  </si>
  <si>
    <t>Seg a sex 07h as 18h / Sab 07H as 11h</t>
  </si>
  <si>
    <t>Clínica Veterinária do Povo Dourados - MS</t>
  </si>
  <si>
    <t>DOURADOS</t>
  </si>
  <si>
    <t>R$105,00</t>
  </si>
  <si>
    <t>R. Monte Alegre, 1784 - Vila Progresso, Dourados - MS, 79824-070</t>
  </si>
  <si>
    <t>Seg a Sex. 07h as 22h / Sáb 07H às 19h e Dom. 07H as 18:30h</t>
  </si>
  <si>
    <t>Gênesis Clínica Veterinária</t>
  </si>
  <si>
    <t>CAMPO GRANDE</t>
  </si>
  <si>
    <t>Av. Ten. Pedro Corrêa Duncan, 296 - Jardim América, Campo Grande - MS, 79080-220</t>
  </si>
  <si>
    <t>Seg a Sex. 07h as 22h / Sáb e Dom. 08H as 20h</t>
  </si>
  <si>
    <t>Pet Villa Torre</t>
  </si>
  <si>
    <t>R. Padre Anchieta, 186 - Torre, Recife - PE, 50710-165</t>
  </si>
  <si>
    <t>Seg a sex 08h as 18h / Sab 08h as 17h</t>
  </si>
  <si>
    <t>Centro Veterinário - Dra Ana Martins</t>
  </si>
  <si>
    <t>DOG R$100,00 / CAT R$120,00</t>
  </si>
  <si>
    <t>R. Osório Borba, 95 - Jardim São Paulo, Recife - PE, 50781-700</t>
  </si>
  <si>
    <t xml:space="preserve">Seg a Sáb 09h as 17h </t>
  </si>
  <si>
    <t>Clínica Real Pet</t>
  </si>
  <si>
    <t>R. Sebastião Malta Arcoverde, 85 - Parnamirim, Recife - PE, 52060-070</t>
  </si>
  <si>
    <t>Bicho Mania</t>
  </si>
  <si>
    <t>Av. Caxangá, 3410 - Iputinga, Recife - PE, 50731-000</t>
  </si>
  <si>
    <t>VIVA PET CARE – Saúde, Embelezamento e Bem-estar animal</t>
  </si>
  <si>
    <t>Rua Jader Andrade, 182 - Casa Forte, Recife - PE, 52061-060</t>
  </si>
  <si>
    <t xml:space="preserve">Seg a Sáb 08h as 17h </t>
  </si>
  <si>
    <t>Aclive - Clínica Veterinária</t>
  </si>
  <si>
    <t>R. Gregório Júnior, 350 - Cordeiro, Recife - PE, 50720-740</t>
  </si>
  <si>
    <t>Todos os dias 07h às 19h</t>
  </si>
  <si>
    <t>Clínica Veterinária Sentido Animal</t>
  </si>
  <si>
    <t>FOZ DO IGUAÇU</t>
  </si>
  <si>
    <t>Av. República Argentina, 1636 - Jardim Tarobá, Foz do Iguaçu - PR, 85851-200</t>
  </si>
  <si>
    <t>Seg a sex 08:30h as 18h / Sab 08:30h as 12h</t>
  </si>
  <si>
    <t>Pequenos Amigos Clínica Veterinária</t>
  </si>
  <si>
    <t>Av. República Argentina, 2080 - Vila Maracana, Foz do Iguaçu - PR, 85852-090</t>
  </si>
  <si>
    <r>
      <rPr>
        <rFont val="Calibri"/>
        <color rgb="FF000000"/>
        <sz val="12.0"/>
      </rPr>
      <t xml:space="preserve">VET Tomoclínica - </t>
    </r>
    <r>
      <rPr>
        <rFont val="Calibri"/>
        <b/>
        <color rgb="FF000000"/>
        <sz val="12.0"/>
      </rPr>
      <t>CARDIOLOGISTA</t>
    </r>
  </si>
  <si>
    <t>R$285,00</t>
  </si>
  <si>
    <t>Av. Belém, 42 - Teresópolis, Porto Alegre - RS, 90870-140</t>
  </si>
  <si>
    <t>Seg a sex 08:30h as 18:30h / Sab 09h as 15h</t>
  </si>
  <si>
    <t>Clínica Veterinária do Forte</t>
  </si>
  <si>
    <t>R$135,00</t>
  </si>
  <si>
    <t>Av. do Forte, 1474 - Vila Ipiranga, Porto Alegre - RS, 91360-001</t>
  </si>
  <si>
    <t>Seg a Sex. 09h as 22h / Sáb 09H às 17h e Dom. 09H as 13h</t>
  </si>
  <si>
    <t>Vetmax Clínica Veterinária</t>
  </si>
  <si>
    <t>R. Portuguesa, 345 - Partenon, Porto Alegre - RS, 90650-120</t>
  </si>
  <si>
    <t>Seg a Sex. 08h as 20h / Sáb 09H às 19h e Dom. 10H as 17h</t>
  </si>
  <si>
    <t>Zoomed Clínica Veterinária Animais Silvestres e Domésticos em Porto Alegre</t>
  </si>
  <si>
    <t>R$143,00</t>
  </si>
  <si>
    <t>Av. Benno Mentz, 1368 - Vila Ipiranga, Porto Alegre - RS, 91370-020</t>
  </si>
  <si>
    <t>Seg a Sex. 08h às 20h</t>
  </si>
  <si>
    <t>Bem Bicho | Clínica Veterinária</t>
  </si>
  <si>
    <t>R. Barão do Amazonas, 314 - Petrópolis, Porto Alegre - RS, 90670-000</t>
  </si>
  <si>
    <t>Seg a sex 09h as 18h / Sab 09h as 13h</t>
  </si>
  <si>
    <t>Puppyshow Clínica de Especialidades Veterinárias e Pet Center</t>
  </si>
  <si>
    <t>R$170,00</t>
  </si>
  <si>
    <t>Av. Guaporé, 256 - Petrópolis, Porto Alegre - RS, 90470-230</t>
  </si>
  <si>
    <t>Seg a sex 07h as 19h / Sab 09h as 18h</t>
  </si>
  <si>
    <t>PetPrime / Proimagem: Clínica de Especialidades e Diagnóstico Veterinário | Recife</t>
  </si>
  <si>
    <t>R. Ten. João Cícero, 390 - Boa Viagem, Recife - PE, 51020-190</t>
  </si>
  <si>
    <t>Todos os dias de 07h às 19h</t>
  </si>
  <si>
    <t>RENALMED CLÍNICA VETERINÁRIA</t>
  </si>
  <si>
    <t>SALVADOR</t>
  </si>
  <si>
    <t>R. Frederico Costa, 25 - Brotas, Salvador - BA, 40285-000</t>
  </si>
  <si>
    <t>Seg a Sex. 08h às 19h</t>
  </si>
  <si>
    <t>Clínica Veterinária Jardim França - Santana Zona Norte São Paulo</t>
  </si>
  <si>
    <t xml:space="preserve">R$195,00 </t>
  </si>
  <si>
    <t>R. Cap. Alberto Mendes Júnior, 368 - Água Fria, São Paulo - SP, 02335-011</t>
  </si>
  <si>
    <t>Centro Veterinário Vila Mariana</t>
  </si>
  <si>
    <t>R$160,00 / NT R$180,00</t>
  </si>
  <si>
    <t>R. Humberto I, 899 - Vila Mariana, São Paulo - SP, 04018-033</t>
  </si>
  <si>
    <t>Seg a sex 08h as 22h / Sab 08h as 17h</t>
  </si>
  <si>
    <t>Hospital Veterinário Fofão</t>
  </si>
  <si>
    <t>APENAS QRCODE MÁQUINA</t>
  </si>
  <si>
    <t>Av. São Miguel, 1252 - Vila Buenos Aires, São Paulo - SP, 03620-000</t>
  </si>
  <si>
    <t>Seg a sex 08h as 23h / Sab e Dom. 08h as 18h</t>
  </si>
  <si>
    <t>HOPE Centro Médico Veterinário &amp; Estética Animal</t>
  </si>
  <si>
    <t>UBATUBA</t>
  </si>
  <si>
    <t>R. Cel. Domiciano, 673 - Centro, Ubatuba - SP, 11690-018</t>
  </si>
  <si>
    <t>Seg a sex 08h as 20h / Sab 08h as 13h</t>
  </si>
  <si>
    <t>Clinica Veterinária Clinica Vetis - Dra Camila Cooke</t>
  </si>
  <si>
    <t>R. Estelita M de Araújo, 23 - Perequê-Acu, Ubatuba - SP, 11695-230</t>
  </si>
  <si>
    <t>Seg a sex 09h as 19h / Sab 09h as 12h</t>
  </si>
  <si>
    <t>Clínica Veterinária Cardiovet</t>
  </si>
  <si>
    <t>R. Cel. Ernesto de Oliveira, 13 - Centro, Ubatuba - SP, 11680-000</t>
  </si>
  <si>
    <t>Seg a sex 08h as 18h / Sab 09h as 13h</t>
  </si>
  <si>
    <t>VidaVet Pet Center - Clínica Veterinária em Ubatuba</t>
  </si>
  <si>
    <t>Av. Marginal Direita, 2102 - Pereque-Mirim, Ubatuba - SP, 11680-000</t>
  </si>
  <si>
    <t>Seg a sex 09h as 19h / Sab 09h as 13h</t>
  </si>
  <si>
    <t>Clínica Veterinária Integrativa Aloha</t>
  </si>
  <si>
    <t>R. Cunhambebe, 632 - Centro, Ubatuba - SP, 11690-030</t>
  </si>
  <si>
    <t>Pet Beach veterinária ,Dra. Fabiani Fernandes atendimento em domicílio .</t>
  </si>
  <si>
    <t>R. 23 - Praia do Sape, Ubatuba - SP, 11680-000</t>
  </si>
  <si>
    <t>DOMICILIAR AGENDAR</t>
  </si>
  <si>
    <t>Veterinário Maranduba</t>
  </si>
  <si>
    <t>Av. Ten. Manoel Barbosa da Silva, 50 - Maranduba, Ubatuba - SP, 11680-000</t>
  </si>
  <si>
    <t>Clínica Veterinária Bicho Caiçara</t>
  </si>
  <si>
    <t>Rod. Oswaldo Cruz, 3400 - Ipiranguinha, Ubatuba - SP, 11693-176</t>
  </si>
  <si>
    <t>Clínica Veterinária Mundo Animal</t>
  </si>
  <si>
    <t>SÃO SEBASTIÃO</t>
  </si>
  <si>
    <t>R. Cel. Clodomiro Santana, 139 - Praia de São Francisco, São Sebastião - SP, 11629-550</t>
  </si>
  <si>
    <t>Seg a sex 08h as 20h / Sab 08h as 14h</t>
  </si>
  <si>
    <t>VETBACANA - CLÍNICA VETERINÁRIA</t>
  </si>
  <si>
    <t>R. Manoel Vitório Nardi, 13 - Praia Deserta, São Sebastião - SP, 11608-009</t>
  </si>
  <si>
    <t>Clínica Veterinária Penélope</t>
  </si>
  <si>
    <t>Av. Penélope, 335 - Praia Canto O Mar, São Sebastião - SP, 11600-000</t>
  </si>
  <si>
    <t>Seg a sex 09h as 18h / Sab 09h as 14:30h</t>
  </si>
  <si>
    <t>Vet Life</t>
  </si>
  <si>
    <t>551238922670 / 5512988376807</t>
  </si>
  <si>
    <t>R. Cristóvão Soares, 369 - Centro, São Sebastião - SP, 11608-602</t>
  </si>
  <si>
    <t>Seg a sex 08:30h as 18h / Sab 08:30h as 13h</t>
  </si>
  <si>
    <t>Clínica Veterinária Bichos de Praia</t>
  </si>
  <si>
    <t>R. Cesp, 99 - Praia de Maresias, São Sebastião - SP, 11628-578</t>
  </si>
  <si>
    <t>Seg a sex 09h as 18h / Sab 09h as 14h</t>
  </si>
  <si>
    <t>Consultório Veterinário São Chiquinho</t>
  </si>
  <si>
    <t>CANELA</t>
  </si>
  <si>
    <t>R. João Edmundo Viezzer, 121 - Alpes Verdes, Canela - RS, 95680-000</t>
  </si>
  <si>
    <t>Seg a sex 09h as 17h / Sab 09h as 12h</t>
  </si>
  <si>
    <t>Clinica Veterinaria Serra Negra</t>
  </si>
  <si>
    <t>SÃO CARLOS</t>
  </si>
  <si>
    <t>R$120,00 / ATÉ 00H R$150,00</t>
  </si>
  <si>
    <t>R. Raimundo Corrêa, 440 - Vila Marcelino, São Carlos - SP, 13570-591</t>
  </si>
  <si>
    <t>Seg a sex 08h as 00h / Sab 08h as 18h Dom 08h às 16h</t>
  </si>
  <si>
    <t>Clínica Veterinária Taisa S. Zanforlin</t>
  </si>
  <si>
    <t>BROTAS</t>
  </si>
  <si>
    <t>R. Dr. Helvio Barbosa, 82 - Jardim Regina, Brotas - SP, 17380-000</t>
  </si>
  <si>
    <t>Seg a sex 08h as 17:30h / Sab 08h as 11:30h</t>
  </si>
  <si>
    <t>Dr. Gazeto Pet Center - Clínica Veterinária, Creche para cachorro</t>
  </si>
  <si>
    <t>554832331830 / 5548991614623</t>
  </si>
  <si>
    <t xml:space="preserve">R$145,00 </t>
  </si>
  <si>
    <t>Rod. Virgílio Várzea, 400 - Saco Grande, Florianópolis - SC, 88032-001</t>
  </si>
  <si>
    <t>Clínica Veterinária Saint Germain - Florianópolis</t>
  </si>
  <si>
    <t>Av. Prof. Othon Gama D'Eça, 579 - Centro, Florianópolis - SC, 88015-240</t>
  </si>
  <si>
    <t>Seg a sex 08h as 16h / Sab 08H as 12h</t>
  </si>
  <si>
    <t>VETSC CLÍNICA VETERINÁRIA - Cirurgias / Exames / Vacinas / Odontologia / Loja Completa / Pet Shop / Banho e Tosa</t>
  </si>
  <si>
    <t>Rodovia João Paulo, 130 - Lojas Terrea 01 a 03 - João Paulo, Florianópolis - SC, 88030-300</t>
  </si>
  <si>
    <t>Seg a sex 08h as 18:30h / Sab 08H as 12:30h</t>
  </si>
  <si>
    <t>Vet Village</t>
  </si>
  <si>
    <t>R. Tijucas, 13 - Balneario, Florianópolis - SC, 88075-540</t>
  </si>
  <si>
    <t>TOPVET Clínica Veterinaria</t>
  </si>
  <si>
    <t>R. Pref. Tolentino de Carvalho, 15 - Balneario, Florianópolis - SC, 88075-530</t>
  </si>
  <si>
    <t>Clínica Veterinária MedVets</t>
  </si>
  <si>
    <t>SC-403, 6553 - Ingleses Norte, Florianópolis - SC, 88058-001</t>
  </si>
  <si>
    <t>Seg a sex 08:30h às 18h</t>
  </si>
  <si>
    <t xml:space="preserve">CENTRO VETERINÁRIO MEMIVET
</t>
  </si>
  <si>
    <t>RN</t>
  </si>
  <si>
    <t xml:space="preserve">NATAL </t>
  </si>
  <si>
    <t>Qr code e chave pix</t>
  </si>
  <si>
    <t>R. Lago da Pedra, 894-A - Pitimbú, Natal - RN, 59063-600</t>
  </si>
  <si>
    <t>CLÍNICA BICHO EXÓTICO</t>
  </si>
  <si>
    <t>5554 9122-5825</t>
  </si>
  <si>
    <t xml:space="preserve">GRAMADO </t>
  </si>
  <si>
    <t>R$145,00</t>
  </si>
  <si>
    <t>R. das Fontes, 745 - Floresta, Gramado - RS, 95671-376</t>
  </si>
  <si>
    <t>Pix CNPJ 41643634000140</t>
  </si>
  <si>
    <t>Clínica Veterinária Renata Rangel</t>
  </si>
  <si>
    <t>5554 9908-2136</t>
  </si>
  <si>
    <t>R$ 150,00</t>
  </si>
  <si>
    <t>R. Ermelinda Barbacovi, 30 - Bavária, Gramado - RS, 95674-000</t>
  </si>
  <si>
    <t>Clínica Veterinária Villa dos Bichos</t>
  </si>
  <si>
    <t>55 73 98386740</t>
  </si>
  <si>
    <t xml:space="preserve">PORTO SEGURO </t>
  </si>
  <si>
    <t>R$ 120,00</t>
  </si>
  <si>
    <t>R. Dezenove de Novembro, 155 - Baianão, Porto Seguro - BA, 45810-000</t>
  </si>
  <si>
    <t>CallPets | Clínica Veterinária e Petshop</t>
  </si>
  <si>
    <t>3ª etapa - Av. Ministro Albuquerque Lima, 1135 - Conj. Ceará, Fortaleza - CE, 60533-691</t>
  </si>
  <si>
    <t>Seg a sex 07:30h as 20h / Sab 07:30H as 18h / Dom 08h às 12h</t>
  </si>
  <si>
    <t>Zooclinic</t>
  </si>
  <si>
    <t>R. Conrado Cabral, 793 - Monte Castelo, Fortaleza - CE, 60325-440</t>
  </si>
  <si>
    <t>Seg a sex 06:30h as 16:30h / Sab 06:30H as 12h</t>
  </si>
  <si>
    <t>Clínica Veterinária Monsenhor Bruno</t>
  </si>
  <si>
    <t>R. Monsenhor Bruno, 2180 - Aldeota, Fortaleza - CE, 60115-191</t>
  </si>
  <si>
    <t>Seg a sex 07h as 21h / Sab 07H as 14h</t>
  </si>
  <si>
    <t>Santé Vet Clínica e Cirurgia Veterinária</t>
  </si>
  <si>
    <t>Av. Bernardo Manuel, 10070 Lj 06, 07 - Rachel de Queiroz, Fortaleza - CE, 60750-400</t>
  </si>
  <si>
    <t>Seg a sex 08h as 17h / Sab 08H as 12h</t>
  </si>
  <si>
    <r>
      <rPr>
        <rFont val="Calibri"/>
        <color rgb="FF000000"/>
        <sz val="12.0"/>
      </rPr>
      <t xml:space="preserve">VETER - Centro de Diagnóstico Veterinário - </t>
    </r>
    <r>
      <rPr>
        <rFont val="Calibri"/>
        <b/>
        <color rgb="FF000000"/>
        <sz val="12.0"/>
      </rPr>
      <t>ESPECIALISTAS</t>
    </r>
  </si>
  <si>
    <t>A PARTIR DE R$280,00</t>
  </si>
  <si>
    <t>R. Joaquim Nabuco, 2986 - Dionísio Torres, Fortaleza - CE, 60130-040</t>
  </si>
  <si>
    <t>Centervet</t>
  </si>
  <si>
    <t>OLINDA</t>
  </si>
  <si>
    <t>R. Ceará, 106 - Jardim Brasil, Olinda - PE, 53290-170</t>
  </si>
  <si>
    <t>Clínica Veterinária Animagem</t>
  </si>
  <si>
    <t>Av. Mozart Pinheiro de Lucena, 1150 - Conjunto Nova Assunção, Fortaleza - CE, 60347-440</t>
  </si>
  <si>
    <t>Clínica Veterinária Pet Center</t>
  </si>
  <si>
    <t>R. Monsenhor Antero, 555 - Cidade dos Funcionários, Fortaleza - CE, 60822-475</t>
  </si>
  <si>
    <t>Seg a sex 08h as 17h / Sab 08H as 15h</t>
  </si>
  <si>
    <t>El Vet</t>
  </si>
  <si>
    <t>Av. Srg. Hermínio Sampaio, 2331 - Monte Castelo, Fortaleza - CE, 60326-515</t>
  </si>
  <si>
    <t>Seg a sex 08h as 20h / Sab 08H as 19h / Dom 08h às 12h</t>
  </si>
  <si>
    <t>Policlínica Veterinária De Fortaleza</t>
  </si>
  <si>
    <t>Av. Rui Barbosa, 1860 - Aldeota, Fortaleza - CE, 60115-221</t>
  </si>
  <si>
    <t xml:space="preserve">Seg a sex 08h as 19h / Sab e Dom. 08H as 18h </t>
  </si>
  <si>
    <t>Clínica Veterinária Dr Geraldo Marques Filho</t>
  </si>
  <si>
    <t>R. Carolino de Aquino, 481 - Fátima, Fortaleza - CE, 60040-500</t>
  </si>
  <si>
    <t>Seg a sex 07:30h as 17h / Sab 07:30H as 15h</t>
  </si>
  <si>
    <t>Cliníca Veterinária Império Animal</t>
  </si>
  <si>
    <t>Av. Pres. Castelo Branco, 5010 - Barra do Ceará, Fortaleza - CE, 60334-100</t>
  </si>
  <si>
    <t>Cemevet</t>
  </si>
  <si>
    <t>R. Frei Humberto, 131 - Otávio Bonfim, Fortaleza - CE, 60011-110</t>
  </si>
  <si>
    <t>Seg a sex 08h as 18h / Sab 08H as 15h</t>
  </si>
  <si>
    <t>OLINDA PET CLÍNICA VETERINÁRIA</t>
  </si>
  <si>
    <t>Ficamos a 400m do atacadão - Rua dos tocos 116 Às margens da pan nordestina em frente ao 7º gac, 8.003580,-34.856454, Olinda - PE, 53320-510</t>
  </si>
  <si>
    <t>VetPop | Clínica Veterinária em Olinda</t>
  </si>
  <si>
    <t>Av. Pres. Getúlio Vargas, 337 - Bairro Novo, Olinda - PE, 53030-010</t>
  </si>
  <si>
    <t>Todos os dias de 08h às 20h</t>
  </si>
  <si>
    <t>SAÚDE PET - DRª NARAYANA ARAÚJO</t>
  </si>
  <si>
    <t>R. Primeiro de Janeiro, 541 - Peixinhos, Olinda - PE, 53220-490 - Ponto de Referência: Ao lado do Ponto de Táxi do Mercado Público de Peixinhos</t>
  </si>
  <si>
    <t>Cats &amp; Dogs - Clínica Veterinária</t>
  </si>
  <si>
    <t>Av. Pres. Getúlio Vargas, 766 - Bairro Novo, Olinda - PE, 51030-010</t>
  </si>
  <si>
    <t>Seg a sex 08h as 20h / Sab 08H as 17h</t>
  </si>
  <si>
    <t>Clínica Veterinária Dra. Natália Cristina</t>
  </si>
  <si>
    <t>R$75,00</t>
  </si>
  <si>
    <t>Av. Brasil, 145 - Rio Doce, Olinda - PE, 53150-470</t>
  </si>
  <si>
    <t>Vida Pet - Atendimento Veterinário &amp; PetShop</t>
  </si>
  <si>
    <t>Av. Antônio da Costa Azevedo - Peixinhos, Olinda - PE, 53220-130</t>
  </si>
  <si>
    <t>Seg a sex 08h as 18h / Sab 08H as 17h</t>
  </si>
  <si>
    <t>Royal Pet Care Clinica Veterinária</t>
  </si>
  <si>
    <t>PARNAMIRIM</t>
  </si>
  <si>
    <t>R. Dom Bôsco, 304 - Emaús, Parnamirim - RN, 59148-450</t>
  </si>
  <si>
    <t xml:space="preserve">Seg a Sex 08:30h as 17h </t>
  </si>
  <si>
    <t>Fauna Clínica Veterinária e Pet Shop</t>
  </si>
  <si>
    <t>Prox ao Praia Shopping - R. Praia de Maracajaú, 8844 - Ponta Negra, Natal - RN, 59090-000</t>
  </si>
  <si>
    <t>Seg a sex 08h as 18h / Sab 08H as 13h</t>
  </si>
  <si>
    <t>Consultório das Patinhas</t>
  </si>
  <si>
    <t>RIO DE JANEIRO</t>
  </si>
  <si>
    <t>Av. Olegário Maciel, 260 - LOJA J - Barra da Tijuca, Rio de Janeiro - RJ, 22621-200</t>
  </si>
  <si>
    <r>
      <rPr>
        <rFont val="Calibri"/>
        <color rgb="FF000000"/>
        <sz val="12.0"/>
      </rPr>
      <t xml:space="preserve">Oncopet Veterinária - </t>
    </r>
    <r>
      <rPr>
        <rFont val="Calibri"/>
        <b/>
        <color rgb="FF000000"/>
        <sz val="12.0"/>
      </rPr>
      <t>ONCOLOGISTA</t>
    </r>
  </si>
  <si>
    <t>R$500,00</t>
  </si>
  <si>
    <t>Av. das Américas, 505 - Loja N - Barra da Tijuca, Rio de Janeiro - RJ, 22631-000</t>
  </si>
  <si>
    <t>Seg a sex 08h as 18h / Sab 08H as 16h</t>
  </si>
  <si>
    <r>
      <rPr>
        <rFont val="Calibri"/>
        <color rgb="FF000000"/>
        <sz val="12.0"/>
      </rPr>
      <t xml:space="preserve">CRV Imagem - Centro de Referência Veterinária - </t>
    </r>
    <r>
      <rPr>
        <rFont val="Calibri"/>
        <b/>
        <color rgb="FF000000"/>
        <sz val="12.0"/>
      </rPr>
      <t>NEUROLOGISTA</t>
    </r>
  </si>
  <si>
    <t>R$700,00</t>
  </si>
  <si>
    <t>Av. das Américas, 500 Shopping Downtown, Bl 22 C, Lj 122 - Barra da Tijuca, Rio de Janeiro - RJ, 22640-100</t>
  </si>
  <si>
    <t xml:space="preserve">Seg a Sáb 09h as 18h </t>
  </si>
  <si>
    <t>Clinica Veterinária Jardim Oceânico</t>
  </si>
  <si>
    <t>Av. Afonso de Taunay, 702 - Barra da Tijuca, Rio de Janeiro - RJ, 22621-310</t>
  </si>
  <si>
    <t>Seg a sex 09h as 17h / Sab 09H as 14h</t>
  </si>
  <si>
    <t>Barra D'og Veterinária</t>
  </si>
  <si>
    <t>R. Oman, 1976 - loja m - Barra da Tijuca, Rio de Janeiro - RJ, 22620-190</t>
  </si>
  <si>
    <t>IMCVET - Instituto de Medicina e Cirurgia Veterinária</t>
  </si>
  <si>
    <t>Av. Bartolomeu Mitre, 630 - Loja B - Leblon, Rio de Janeiro - RJ, 22431-004</t>
  </si>
  <si>
    <t>Cão &amp; Gato Saúde Animal</t>
  </si>
  <si>
    <t>Av. Borges de Medeiros, 239 - Leblon, Rio de Janeiro - RJ, 22430-041</t>
  </si>
  <si>
    <t>Seg a sex 09h as 18h / Sab 09H as 14h</t>
  </si>
  <si>
    <t>Vet Staff</t>
  </si>
  <si>
    <t>R$250,00</t>
  </si>
  <si>
    <t>R. Alm. Pereira Guimarães, 65 A - Leblon, Rio de Janeiro - RJ, 22440-030</t>
  </si>
  <si>
    <t>Seg a sex 09h as 20h / Sab 09H as 16h</t>
  </si>
  <si>
    <t>República Animal</t>
  </si>
  <si>
    <t>R. Marquês de Abrantes, 197 - Loja A - Flamengo, Rio de Janeiro - RJ, 22230-061</t>
  </si>
  <si>
    <t>Veterinária Condor</t>
  </si>
  <si>
    <t>R. Buarque de Macedo, 70 - Flamengo, Rio de Janeiro - RJ, 22220-030</t>
  </si>
  <si>
    <t>Clínica Veterinária &amp; Petshop Apaixonados Por Quatro Patas - Centro do Rio</t>
  </si>
  <si>
    <t>R$53,90</t>
  </si>
  <si>
    <t>R. Riachuelo, 325 - Centro, Rio de Janeiro - RJ, 20230-013</t>
  </si>
  <si>
    <t>Amigos Peludos Veterinária</t>
  </si>
  <si>
    <t>R. Gen. Olímpio Mourão Filho, 40 - Loja 13 - São Conrado, Rio de Janeiro - RJ, 22610-020</t>
  </si>
  <si>
    <t xml:space="preserve">Seg a Sáb 09h as 19h </t>
  </si>
  <si>
    <t>Pet São Conrado</t>
  </si>
  <si>
    <t>R$125,00</t>
  </si>
  <si>
    <t>Estrada da Gávea, |, 847 - Loja 102 - São Conrado, Rio de Janeiro - RJ, 22610-001</t>
  </si>
  <si>
    <t>Mr. Dog - Veterinária e Pet Shop</t>
  </si>
  <si>
    <t>R. Barata Ribeiro, 560 - Loja E - Copacabana, Rio de Janeiro - RJ, 22040-002</t>
  </si>
  <si>
    <t>Sweet Pet</t>
  </si>
  <si>
    <t>R. Domingos Ferreira, 122 - Loja C - Copacabana, Rio de Janeiro - RJ, 22050-012</t>
  </si>
  <si>
    <t>VETERINÁRIA ZONA SUL</t>
  </si>
  <si>
    <t>R. Francisco Sá, 35 - Sobreloja 203 - Copacabana, Rio de Janeiro - RJ, 22080-010</t>
  </si>
  <si>
    <t xml:space="preserve">Seg a Sex 09h as 18h </t>
  </si>
  <si>
    <t>Kenko Pet Veterinária</t>
  </si>
  <si>
    <t>R. Anita Garibaldi, 60 - loja i - Copacabana, Rio de Janeiro - RJ, 22041-080</t>
  </si>
  <si>
    <t>Alberto David Cohen - DERMATOLOGISTA</t>
  </si>
  <si>
    <t>R. Visc. de Pirajá, 487 - lj 105 - Ipanema, Rio de Janeiro - RJ, 22410-003</t>
  </si>
  <si>
    <t xml:space="preserve">Seg a Sex 09h as 19h </t>
  </si>
  <si>
    <t xml:space="preserve">Pet Village Porto
</t>
  </si>
  <si>
    <t>R$ 80,00</t>
  </si>
  <si>
    <t xml:space="preserve"> R. do Pantanal Um - Porto de Galinhas, Ipojuca - PE, 55590-000</t>
  </si>
  <si>
    <t>Rede Vida Animal</t>
  </si>
  <si>
    <t>5522 997935322</t>
  </si>
  <si>
    <t>SÃO PEDRO DA ALDEIA</t>
  </si>
  <si>
    <t>-----</t>
  </si>
  <si>
    <t>Rua Francisco Santos, 289, Estação, São Pedro da Aldeia</t>
  </si>
  <si>
    <t>PetLife Búzios</t>
  </si>
  <si>
    <t xml:space="preserve">BUZIOS </t>
  </si>
  <si>
    <t>CHAVE OU QRCODE</t>
  </si>
  <si>
    <t>R. Progresso, 95 - Cem Braças, Búzios - RJ, 28954-380</t>
  </si>
  <si>
    <t>Seg a Sáb. 08:30h às 19h</t>
  </si>
  <si>
    <t xml:space="preserve">Clínica dos Pets
</t>
  </si>
  <si>
    <t xml:space="preserve">R$120,00 </t>
  </si>
  <si>
    <t>QRCODE OU CELULAR</t>
  </si>
  <si>
    <t>Av. Gov. Paulo Barreto de Menezes, 840 - Farolândia, Aracaju - SE, 49032-000</t>
  </si>
  <si>
    <t xml:space="preserve">Afetto Centro Médico Veterinário
</t>
  </si>
  <si>
    <t xml:space="preserve"> R. José Carvalho Pinto, 280 - LOJA 21 A - Jardins, Aracaju - SE, 49026-150</t>
  </si>
  <si>
    <t>Clinica Vida Animal</t>
  </si>
  <si>
    <t>5579 98123040</t>
  </si>
  <si>
    <t>Av. Hermes Fontes, 1546 - Luzia, Aracaju - SE, 49048-010</t>
  </si>
  <si>
    <t xml:space="preserve">Mais Vet Clínica Veterinária
</t>
  </si>
  <si>
    <t xml:space="preserve">ARACAJU </t>
  </si>
  <si>
    <t>R$ 180,00</t>
  </si>
  <si>
    <t>Costa Nova I - Rua Maria Vasconcelos de Andrade, 457 - Aruana, Aracaju - SE, 49000-626</t>
  </si>
  <si>
    <t xml:space="preserve">Clínica Veterinária Popular Animalia
</t>
  </si>
  <si>
    <t>5596 8418-1639</t>
  </si>
  <si>
    <t>AP</t>
  </si>
  <si>
    <t>MACAPA</t>
  </si>
  <si>
    <t>Av. Ernestino Borges, 1213 - Santa Rita, Macapá - AP, 68908-198</t>
  </si>
  <si>
    <t>Seg a Sex. 08h às 23h / Sáb. 08h às 18h</t>
  </si>
  <si>
    <t>Clinica Veterinaria Vida Animal(Dr Jose Atila)</t>
  </si>
  <si>
    <t>JUIZ DE FORA</t>
  </si>
  <si>
    <t>R. dos Artistas, 57 - Morro da Glória, Juiz de Fora - MG, 36035-130</t>
  </si>
  <si>
    <t>Seg a sex 07h as 20h / Sab 07H as 17h / Dom 09h às 18h</t>
  </si>
  <si>
    <t>Centro de Especialidades Veterinárias Villa dos Pets</t>
  </si>
  <si>
    <t>CAXIAS DO SUL</t>
  </si>
  <si>
    <t>Rua Luiz Michielon, 545 - Cruzeiro, Caxias do Sul - RS, 95074-000</t>
  </si>
  <si>
    <t>VitaliPet Clínica Veterinária e Petshop</t>
  </si>
  <si>
    <t>Av. Itália, 192 - São Pelegrino, Caxias do Sul - RS, 95010-040</t>
  </si>
  <si>
    <t>Seg a sex 08h as 19h / Sab 08H as 14h</t>
  </si>
  <si>
    <t>Zoo Planet Clínica Veterinária</t>
  </si>
  <si>
    <t>DN R$140,00 / ATÉ 00H R$240,00</t>
  </si>
  <si>
    <t>Rua Luiz Michielon, 1525 - Cruzeiro, Caxias do Sul - RS, 95074-001</t>
  </si>
  <si>
    <t>Todos os dias de 08h às 00h</t>
  </si>
  <si>
    <t>Clínica Veterinária Andelieri</t>
  </si>
  <si>
    <t>Av. Rio Branco, 2840 - Ana Rech, Caxias do Sul - RS, 95060-145</t>
  </si>
  <si>
    <t>Seg a sex 08:30h as 18:30h / Sab 08:30H as 12h</t>
  </si>
  <si>
    <t>Clínica Veterinária Cães e Gatos</t>
  </si>
  <si>
    <t>ANGRA DOS REIS</t>
  </si>
  <si>
    <t>R$100,00 / Sáb R$130,00</t>
  </si>
  <si>
    <t>Perto do antigo Texaco - Rua Maria Luíza de Oliveira, 27 - Centro, Angra dos Reis - RJ, 23903-170</t>
  </si>
  <si>
    <t>CliniVet 2º distrito</t>
  </si>
  <si>
    <t>AC</t>
  </si>
  <si>
    <t>RIO BRANCO</t>
  </si>
  <si>
    <t>Via Chico Mendes, 3925 - Areal, Rio Branco - AC, 69906-119</t>
  </si>
  <si>
    <t>Consultório Veterinário Pet e Horse</t>
  </si>
  <si>
    <t>R. Rio de Janeiro, 742 - Base, Rio Branco - AC, 69900-273</t>
  </si>
  <si>
    <t xml:space="preserve">Todos os dias 07:30h as 17:30h </t>
  </si>
  <si>
    <t>Animed Consultório Veterinário &amp; Pet Shop</t>
  </si>
  <si>
    <t>R. Gen. Viêira de Melo, 1063 - 3 - Nova Esperança, Rio Branco - AC, 69915-182</t>
  </si>
  <si>
    <t>Seg a sex 08h as 17:30h / Sab 08H as 13h</t>
  </si>
  <si>
    <t>Au State Pet - O Seu Pet Shop</t>
  </si>
  <si>
    <t>Estr. Dias Martins, 720 - Conj. Mariana, Rio Branco - AC, 69919-180</t>
  </si>
  <si>
    <t>Seg. a Sáb. 07h às 18h</t>
  </si>
  <si>
    <t>Clínica Veterinária Cia do Cão</t>
  </si>
  <si>
    <t>R. Aviário, 918 - Aviário, Rio Branco - AC, 69909-170</t>
  </si>
  <si>
    <t>Centro Clínico Veterinário Bichos em Casa</t>
  </si>
  <si>
    <t>PI</t>
  </si>
  <si>
    <t>TERESINA</t>
  </si>
  <si>
    <t>R$100,00 / DE 18H ÀS 19H R$150,00</t>
  </si>
  <si>
    <t>R. Pedro II, 2160 - Cidade Nova, Teresina - PI, 64019-550</t>
  </si>
  <si>
    <t>Seg a sex 08h as 19h / Sab 08H as 16h</t>
  </si>
  <si>
    <t>Pet House Clínica Veterinária</t>
  </si>
  <si>
    <t>QRCODE FIXO E CPF</t>
  </si>
  <si>
    <t>R. Lucílio Albuquerque, 1222 - Morada do Sol, Teresina - PI, 64056-460</t>
  </si>
  <si>
    <t>Clínica Veterinária Agrovida</t>
  </si>
  <si>
    <t>TO</t>
  </si>
  <si>
    <t>PALMAS</t>
  </si>
  <si>
    <t>Quadra 110, Av. Juscelino Kubitscheck, s/n lote 22, Palmas - TO, 77020-124</t>
  </si>
  <si>
    <t>Seg a sex 07:45h as 18:30h / Sab 07:45H as 13h</t>
  </si>
  <si>
    <t>Clínica Veterinária Pronto Dog</t>
  </si>
  <si>
    <t>Rua 110 Sul, Av. Juscelino Kubitscheck, lote 5 - Loja 1 e 2 - Centro, Palmas - TO, 77020-124</t>
  </si>
  <si>
    <t>Seg a sex 08h as 18h / Sab 08H as 12:30h</t>
  </si>
  <si>
    <t>Bichinho Chick</t>
  </si>
  <si>
    <t>204 sul avenida LO 03 QI 17, LT 01 - Plano Diretor Sul, Palmas - TO, 77020-464</t>
  </si>
  <si>
    <t>Clínica Veterinária - Reabilitare Cane e Gatti</t>
  </si>
  <si>
    <t>R$225,00</t>
  </si>
  <si>
    <t>Quadra 606 Sul Avenida LO 13, 17 - Sala 01 - Plano Diretor Sul, Palmas - TO, 77022-054</t>
  </si>
  <si>
    <t xml:space="preserve">Seg a sex 08h as 18h </t>
  </si>
  <si>
    <t>Clínica Veterinária São João</t>
  </si>
  <si>
    <t>RO</t>
  </si>
  <si>
    <t>VILHENA</t>
  </si>
  <si>
    <t>Av. Benno Luiz Graebin, 4374 - Jardim América, Vilhena - RO, 76980-690</t>
  </si>
  <si>
    <t>Seg a sex 07h as 18h / Sab 08H as 12h</t>
  </si>
  <si>
    <t>Vet Life Centro Veterinário</t>
  </si>
  <si>
    <t>Tv. Padre Eutíquio, 2030 - Batista Campos, Belém - PA, 66023-710</t>
  </si>
  <si>
    <t>Seg a sex 08h as 20h / Sab e Dom. 08H as 17h</t>
  </si>
  <si>
    <t>VITAL VET CLÍNICA VETERINÁRIA</t>
  </si>
  <si>
    <t>R$115,00</t>
  </si>
  <si>
    <t>Tv. Francisco Caldeira Castelo Branco, 1778 - São Brás, Belém - PA, 66063-223</t>
  </si>
  <si>
    <t>Seg a sex 08h as 22h / Sab 08H as 20h / Dom 08h às 19h</t>
  </si>
  <si>
    <t>Clínica Veterinária Baby Pet</t>
  </si>
  <si>
    <t>Conjunto, Tv. WE-11 - Maguari, Belém - PA</t>
  </si>
  <si>
    <t>Clínica Veterinária Apaixonados Por Quatro Patas Jardim Esperaça Cabo Frio</t>
  </si>
  <si>
    <t>CABO FRIO</t>
  </si>
  <si>
    <t>Estr. Antenor Cardoso da Fonseca, lote B12, loja 08 - Jardim Esperança, Cabo Frio - RJ, 28922-270</t>
  </si>
  <si>
    <t>Clínica Veterinária Patas do Peró</t>
  </si>
  <si>
    <t>Av. Barracudas, 10 - Peró, Cabo Frio - RJ, 28922-000</t>
  </si>
  <si>
    <t>Vet Lagos Veterinária</t>
  </si>
  <si>
    <t>R. Manaus, 12 - Palmeiras, Cabo Frio - RJ, 28915-450</t>
  </si>
  <si>
    <t>Veterinária Esperança</t>
  </si>
  <si>
    <t>Av. Américo Gomes da Fonseca, n° 159 - Jardim Esperança, Cabo Frio - RJ, 28920-050</t>
  </si>
  <si>
    <t>Seg a sex 09h as 18h / Sab e Dom. 09H as 17h</t>
  </si>
  <si>
    <t>Clínica Veterinária Patinhas Praianas</t>
  </si>
  <si>
    <t>Av. Independência, 70 - Unamar, Cabo Frio - RJ, 28925-826</t>
  </si>
  <si>
    <t>Clínica Veterinária É o Bicho - Arraial do Cabo</t>
  </si>
  <si>
    <t>ARRAIAL DO CABO</t>
  </si>
  <si>
    <t>Praça - R. Washignton Luís, R. Olívia Coelho Vidal, 24, Arraial do Cabo - RJ, 28930-000</t>
  </si>
  <si>
    <t xml:space="preserve">Seg a sex 09h as 18h </t>
  </si>
  <si>
    <t>Clínica Veterinária &amp; Petshop Apaixonados Por Quatro Patas - Búzios</t>
  </si>
  <si>
    <t>Av. José Bento Ribeiro Dantas, 1254 - Rasa, Búzios - RJ, 28956-690</t>
  </si>
  <si>
    <t>Seg a Sáb. 08h às 20h e Dom. 08h às 16h</t>
  </si>
  <si>
    <t>Reino Animal | Clínica Veterinária em Santos</t>
  </si>
  <si>
    <t>SANTOS</t>
  </si>
  <si>
    <t>R. Azevedo Sodré, 85 - Boqueirão, Santos - SP, 11055-050</t>
  </si>
  <si>
    <t>Seg a sex 09h as 18h / Sab 10H as 13:30h</t>
  </si>
  <si>
    <t>Clínica Veterinária da Villa</t>
  </si>
  <si>
    <t>Av. Senador Pinheiro Machado, 372 - Marapé, Santos - SP, 11075-000</t>
  </si>
  <si>
    <t>Seg a sex 08h as 22h / Sab 09H as 18h / Dom 09h às 14h</t>
  </si>
  <si>
    <t>Ômega Imagem Veterinária</t>
  </si>
  <si>
    <t>APENAS EXAMES</t>
  </si>
  <si>
    <t>Av. Washington Luis, 112 - Vila Matias, Santos - SP, 11050-200</t>
  </si>
  <si>
    <t>Clínica Veterinária Dvet</t>
  </si>
  <si>
    <t>R. Francisco Derosso, 3590 - Xaxim, Curitiba - PR, 81720-235</t>
  </si>
  <si>
    <t>Seg a sex 09h as 18h / Sab 09H as 16h</t>
  </si>
  <si>
    <t>LIFE Centro Veterinário</t>
  </si>
  <si>
    <t>BALNEÁRIO CAMBORIÚ</t>
  </si>
  <si>
    <t>R. 2850, 550 - Centro, Balneário Camboriú - SC, 88330-365</t>
  </si>
  <si>
    <t>Salus Clínica Veterinária Popular</t>
  </si>
  <si>
    <t>R. Jamaica, 514 - Sala 6 - Nações, Balneário Camboriú - SC, 88338-250</t>
  </si>
  <si>
    <t>Todos os dias</t>
  </si>
  <si>
    <t>Gateria Clínica Veterinária Exclusiva de Gatos</t>
  </si>
  <si>
    <t>R. Israel, 150 - Nações, Balneário Camboriú - SC, 88338-270</t>
  </si>
  <si>
    <t>Seg a sex 08h as 20h / Sab 08H as 12h</t>
  </si>
  <si>
    <t>A Casa do Pet - Clinica Veterinária e Pet Shop</t>
  </si>
  <si>
    <t>esquina - Rua Liberia, Av. Palestina, 651 - Salas 1,2,3 e piso Superior - Nações, Balneário Camboriú - SC, 88338-235</t>
  </si>
  <si>
    <t>Seg a sex 08h as 19h / Sab 08H as 13h</t>
  </si>
  <si>
    <t>Centro Veterinário Costa Esmeralda</t>
  </si>
  <si>
    <t>Rua Henrique Coppi, 465 - Centro, Camboriú - SC, 88340-290</t>
  </si>
  <si>
    <t>Santa Clara Clínica Veterinária</t>
  </si>
  <si>
    <t>PIÇARRAS</t>
  </si>
  <si>
    <t>Av. Nereu Ramos, 3730 - Itacolomi, Balneário Piçarras - SC, 88380-000</t>
  </si>
  <si>
    <t>Seg. a Sáb. 07h às 00h</t>
  </si>
  <si>
    <t>ICONVET - Clínica Veterinária</t>
  </si>
  <si>
    <t>R. Ilhéus, 159 - Rio Vermelho, Salvador - BA, 41940-570</t>
  </si>
  <si>
    <t>Clínica Veterinária São Bernardo</t>
  </si>
  <si>
    <t>R. Medeiros Neto, 57 - Engenho Velho de Brotas, Salvador - BA, 40243-047</t>
  </si>
  <si>
    <t>Kennel Veterinária - Pituba - Clínica Veterinária - Banho e Tosa</t>
  </si>
  <si>
    <t>Sobre loja - AGROMIX, Rua das Hortênsias, 464 - Pituba, Salvador - BA, 41290-770</t>
  </si>
  <si>
    <t>Seg. a Sáb. 08h às 17h</t>
  </si>
  <si>
    <t>Vida Animal | Clinica Veterinaria Aguas Claras | Consultas Exames Emergência Cirurgia Cães Gatos</t>
  </si>
  <si>
    <t xml:space="preserve">DF </t>
  </si>
  <si>
    <t>BRASILIA</t>
  </si>
  <si>
    <t>R. 8 Norte, 7 - Loja 10 - Águas Claras, Brasília - DF, 71908-360</t>
  </si>
  <si>
    <t>MultiVet | Multiclínica Veterinária</t>
  </si>
  <si>
    <t>ccsw 06 lote2/3 bloco b/c, St. Sudoeste Edifício Miami Center loja 39, Brasília - DF, 70680-650</t>
  </si>
  <si>
    <t>Clínica Veterinária Vitta Vet</t>
  </si>
  <si>
    <t>Condomínio Península - Av. das Araucárias, 4530 - 27 - Águas Claras, Brasília - DF, 71936-250</t>
  </si>
  <si>
    <t>Seg a sex 08h as 23h / Sab e Dom. 08H as 20h</t>
  </si>
  <si>
    <t>Happy Vet - Clínica Veterinária e Pet Shop</t>
  </si>
  <si>
    <t>St. Comercial Central Q. Central Bloco 11 Lote 4, Loja 1 - Sobradinho, Brasília - DF, 73010-521</t>
  </si>
  <si>
    <t>Seg. a Sáb. 08h às 18h</t>
  </si>
  <si>
    <t>Doc Vet</t>
  </si>
  <si>
    <t>Av. Nossa Sra. de Fátima, 1843 - Torre, João Pessoa - PB, 58040-380</t>
  </si>
  <si>
    <t>Pets Clínica Veterinária e Pet Shop</t>
  </si>
  <si>
    <t>R$90,00 / Após às 18h R$120,00</t>
  </si>
  <si>
    <t>Av. Pres. Juscelino Kubitscheck, 82 - Ernesto Geisel, João Pessoa - PB, 58075-400</t>
  </si>
  <si>
    <t xml:space="preserve">Seg a Sáb 08h as 22h / Dom. 9h às 14h </t>
  </si>
  <si>
    <t>Clínica Veterinária Pet Amigo</t>
  </si>
  <si>
    <t>Av. Dom Pedro II, 194 - Centro, João Pessoa - PB, 58013-420</t>
  </si>
  <si>
    <t>Unipet Clínica Veterinária e Pet Shop</t>
  </si>
  <si>
    <t>Av. Francisco Porto, 870 - Salgado Filho, Aracaju - SE, 49020-570</t>
  </si>
  <si>
    <t>Seg a sex 07h as 20h / Sab 07h as 18h</t>
  </si>
  <si>
    <t>Agroveterinaria Sao Francisco</t>
  </si>
  <si>
    <t>Av:Lamarao ,226 - Lamarão, Aracaju - SE, 49088-000</t>
  </si>
  <si>
    <t>Seg a sex 08h as 20h / Sab 08h as 12h</t>
  </si>
  <si>
    <t>CIVET - Centro Integrado Veterinário</t>
  </si>
  <si>
    <t>R. José Freire, 564 - Salgado Filho, Aracaju - SE, 49020-410</t>
  </si>
  <si>
    <t>Seg a sex 07h as 18:30h / Sab 08h as 12h</t>
  </si>
  <si>
    <t>PetVille</t>
  </si>
  <si>
    <t>Av. Gov. Paulo Barreto de Menezes, 2186 - Farolândia, Aracaju - SE, 49032-000</t>
  </si>
  <si>
    <t>Seg a sex 07h as 19h / Sab 08h as 16h</t>
  </si>
  <si>
    <t>Clinical Vet</t>
  </si>
  <si>
    <t>R. Distrito Federal, 611 - Siqueira Campos, Aracaju - SE, 49075-190</t>
  </si>
  <si>
    <t>Petzee Clínica Veterinária</t>
  </si>
  <si>
    <t>MACAPÁ</t>
  </si>
  <si>
    <t>E-MAIL</t>
  </si>
  <si>
    <t>Av. Mendonça Júnior, 2191 - Central, Macapá - AP, 68900-020</t>
  </si>
  <si>
    <t>Seg a Sex. 08h às 18h / Sáb. 08h às 12h</t>
  </si>
  <si>
    <t>Pet Clinic - Clínica Veterinária</t>
  </si>
  <si>
    <t>Av. Maria José de Nazaré Ferreira Lima, 24 - Beirol, Macapá - AP, 68902-011</t>
  </si>
  <si>
    <t>Seg a Sex. 08:30h às 19h / Sáb. 08:30h às 13h</t>
  </si>
  <si>
    <t>UbPet Teresina</t>
  </si>
  <si>
    <t>R. Barroso, 1928 - Vermelha, Teresina - PI, 64018-520</t>
  </si>
  <si>
    <t>Seg a sex 08h as 17h / Sab 08H as 14h</t>
  </si>
  <si>
    <t>VetPop Clínica Veterinária Popular de Teresina</t>
  </si>
  <si>
    <t>R. Anísio de Abreu, 2555 - Aeroporto, Teresina - PI, 64003-645</t>
  </si>
  <si>
    <t>Seg a sex 07:30h as 21h / Sab 07:30H as 19h / Dom. 08:30H às 20:30h</t>
  </si>
  <si>
    <t>Dr. Pet Teresina</t>
  </si>
  <si>
    <t xml:space="preserve"> TERESINA</t>
  </si>
  <si>
    <t>Av. Leônidas Melo, 546 - Piçarra, Teresina - PI, 64015-120</t>
  </si>
  <si>
    <t xml:space="preserve">Seg a Sáb. 08h as 17h </t>
  </si>
  <si>
    <r>
      <rPr>
        <rFont val="Calibri"/>
        <color rgb="FF000000"/>
        <sz val="12.0"/>
      </rPr>
      <t>UDVet - Unidade de Diagnóstico Veterinário</t>
    </r>
    <r>
      <rPr>
        <rFont val="Calibri"/>
        <b/>
        <color rgb="FF000000"/>
        <sz val="12.0"/>
      </rPr>
      <t xml:space="preserve"> (EXAMES)</t>
    </r>
  </si>
  <si>
    <t>A PARTIR DE R$25,00</t>
  </si>
  <si>
    <t>R. Prof. Pires Gayoso, 335 - Noivos, Teresina - PI, 64046-350</t>
  </si>
  <si>
    <t>Seg a sex 08h as 18h / Sab 09H as 13h</t>
  </si>
  <si>
    <t>Petopia - Clínica Veterinária em Boa Vista</t>
  </si>
  <si>
    <t>RR</t>
  </si>
  <si>
    <t>BOA VISTA</t>
  </si>
  <si>
    <t>Av. Princesa Isabel, 3805 - Santa Tereza, Boa Vista - RR, 69314-148</t>
  </si>
  <si>
    <t>Seg a Sáb. 08h às 20h</t>
  </si>
  <si>
    <t>Clínica Veterinária Porto Velho</t>
  </si>
  <si>
    <t>PORTO VELHO</t>
  </si>
  <si>
    <t xml:space="preserve">QRCODE FIXO </t>
  </si>
  <si>
    <t>R. Raimundo Cantuária, 2884 - Roque, Porto Velho - RO, 76804-434</t>
  </si>
  <si>
    <t>Seg a sex 08h as 18h / Sab e Dom. 08H as 12h</t>
  </si>
  <si>
    <t>CescVet - Centro de Especialidades Cirúrgicas Veterinário</t>
  </si>
  <si>
    <t>Arso 43 avenida Lo 9, lote 14 - Plano Diretor Sul, Palmas - TO, 77015-684</t>
  </si>
  <si>
    <t>Seg a sex 08:30h as 18h / Sab 08:30H as 13h</t>
  </si>
  <si>
    <t>Clínica Veterinária Medpet</t>
  </si>
  <si>
    <t>QD - Q. 706 Sul Alameda 8, LO-15 - ALAMEDA 12 LOTE 01 - Plano Diretor Sul, Palmas - TO, 77022-392</t>
  </si>
  <si>
    <t>João do Bode</t>
  </si>
  <si>
    <t>CABO DE SANTO AGOSTINHO</t>
  </si>
  <si>
    <t>sul Em Frente Ao Hospital Infantil Do - BR-101, km 100 - Distrito industrial, Cabo de Santo Agostinho - PE, 54500-000</t>
  </si>
  <si>
    <t>Seg, Terç e Qui 08h às 17h</t>
  </si>
  <si>
    <t>Sertório Vet</t>
  </si>
  <si>
    <t>CANAVIEIRAS</t>
  </si>
  <si>
    <t>Av. Dr. Otávio Mangabeira, 558 - Centro, Canavieiras - BA, 45860-000</t>
  </si>
  <si>
    <t>Trancoso Vet</t>
  </si>
  <si>
    <t>Rua Manoel Alves, 78 Rua do Shopping Manezinho - Trancoso, Porto Seguro - BA, 45818-000</t>
  </si>
  <si>
    <t>S.O.S Animal São Mateus</t>
  </si>
  <si>
    <t>Rua Domiziano Rossi, 524 - Cidade São Mateus, São Paulo - SP, 03966-030</t>
  </si>
  <si>
    <t>Seg a sex 09h as 18h / Sab 09H as 15h</t>
  </si>
  <si>
    <t>Bicho Solto Saúde Animal</t>
  </si>
  <si>
    <t>SÃO MATEUS</t>
  </si>
  <si>
    <t>R. Cel. C.Cunha, 1026 - Arnaldo Bastos, São Mateus - ES, 29934-110</t>
  </si>
  <si>
    <t>Seg a sex 09h as 19h / Sab 09H as 13h</t>
  </si>
  <si>
    <t>Clínica Veterinária Santa Rita</t>
  </si>
  <si>
    <t>GOIÂNIA</t>
  </si>
  <si>
    <t>Av. Berlim, 316 - Quadra 60. Lote 05 - Parque Industrial Joao Braz, Goiânia - GO, 74483-110</t>
  </si>
  <si>
    <t>Todos os dias 07:30h às 20:30h</t>
  </si>
  <si>
    <t>Clínica veterinária Cangussu</t>
  </si>
  <si>
    <t>Av. Circular, 992 - Quadra 50 Lote 06 - St. Pedro Ludovico, Goiânia - GO, 74823-020</t>
  </si>
  <si>
    <t>Clínica Veterinária &amp; Pet Shop Cão Chik</t>
  </si>
  <si>
    <t>VILA VELHA</t>
  </si>
  <si>
    <t>Av Jerónimo Monteiro, n 1.174 - Glória, Vila Velha - ES, 29122-720</t>
  </si>
  <si>
    <t>Animal Clinic Veterinária em Búzios</t>
  </si>
  <si>
    <t>Avenida José Bento Ribeiro Dantas, Manguinhos, 5450 - Lj 6 e 7 - Porto Belo, Búzios - RJ, 28953-814</t>
  </si>
  <si>
    <t>Todos os dias 09h às 18h</t>
  </si>
  <si>
    <t>Clínica Veterinária É o Bicho</t>
  </si>
  <si>
    <t>R. Francisco Vasconcelos, 75 - São Cristóvão, Cabo Frio - RJ, 28909-570</t>
  </si>
  <si>
    <t>Filhotes e Cia Clínica Veterinária</t>
  </si>
  <si>
    <t>Rua Alex Novelino, 12 Centro de - Vila Nova, Cabo Frio - RJ, 28907-350</t>
  </si>
  <si>
    <t>Veterinária Vet&amp;Pet Tamoios</t>
  </si>
  <si>
    <t>Avenida independência km 134 lote 5 quadra A - Unamar, Cabo Frio - RJ, 28928-542</t>
  </si>
  <si>
    <t>Seg a sex 09h as 18h / Sab 09H as 12h</t>
  </si>
  <si>
    <t>Golden Dog &amp; Cat</t>
  </si>
  <si>
    <t>R$325,00</t>
  </si>
  <si>
    <t>R. Dr. Alceu de Campos Rodrigues, 465 - Itaim Bibi, São Paulo - SP, 04544-020</t>
  </si>
  <si>
    <t>Seg a sex 08h as 19h / Sab 09H as 16h</t>
  </si>
  <si>
    <t>Dra. Claudia Galli - Medica Veterinária</t>
  </si>
  <si>
    <t>R. Hollywood, 134 - Brooklin Novo, São Paulo - SP, 04564-040</t>
  </si>
  <si>
    <t>Seg a Sex. 08h às 18h</t>
  </si>
  <si>
    <t>Foxvet</t>
  </si>
  <si>
    <t>R$320,00</t>
  </si>
  <si>
    <t>Av. Cotovia, 422/414 - Moema, São Paulo - SP, 04517-001</t>
  </si>
  <si>
    <t>Seg a sex 08h as 20h / Sab 09H as 18h</t>
  </si>
  <si>
    <t>Climevet Veterinária Cães Gatos Grandes Animais</t>
  </si>
  <si>
    <t>R. Filipinas, 335 - Cajuru, Curitiba - PR, 82960-180</t>
  </si>
  <si>
    <t>Seg. a Sex 10h ÀS 12H</t>
  </si>
  <si>
    <t>AU AU VET</t>
  </si>
  <si>
    <t>GOIANIA</t>
  </si>
  <si>
    <t>Av. Pres. Kennedy, 2197 - Jardim Alexandrina, Anápolis - GO, 75060-103</t>
  </si>
  <si>
    <t>Seg a Sáb. 08h às 18h</t>
  </si>
  <si>
    <t>Consultório Veterinário Saúde Animal</t>
  </si>
  <si>
    <t>Av. Fernando Costa, Quadra 65 - Lote 4 - Vila Jaiara St. Norte, Anápolis - GO, 75064-780</t>
  </si>
  <si>
    <t>Seg a Sex. 08h às 18h30 e Sáb. de 08h às 13h</t>
  </si>
  <si>
    <t>New Pet Clínica Veterinária</t>
  </si>
  <si>
    <t>DF</t>
  </si>
  <si>
    <t>CNPJ/49.825.584/0001-23</t>
  </si>
  <si>
    <t>Rua 12, St. Hab. Vicente Pires Loja 01, Brasília - DF, 72007-560</t>
  </si>
  <si>
    <t>Seg. a Sáb. 07h às 223h</t>
  </si>
  <si>
    <t>Hospital Veterinário Città Vet - Unid. CIttà Office Mall</t>
  </si>
  <si>
    <t>CNPJ AO FINALIZAR CONSULTA</t>
  </si>
  <si>
    <t>Av. das Américas, 700 - Barra da Tijuca, Rio de Janeiro - RJ, 22640-100</t>
  </si>
  <si>
    <t>VALOR FIXO</t>
  </si>
  <si>
    <t>Pet Care Animália</t>
  </si>
  <si>
    <t>DIURNA R$254,00 NOTURNA R$318,00</t>
  </si>
  <si>
    <t>Estrada da Barra da Tijuca, 1636 - Bloco B loja A - Itanhangá, Rio de Janeiro - RJ, 22641-003</t>
  </si>
  <si>
    <t>Cetra Vet Recreio - Clínica Veterinária 24h</t>
  </si>
  <si>
    <t>Av. das Américas, 14439 - Recreio dos Bandeirantes, Rio de Janeiro - RJ, 22790-701</t>
  </si>
  <si>
    <t>AMARE Hospital Veterinário 24 Horas</t>
  </si>
  <si>
    <t>R. Brg. Gavião Peixoto, 249 - Lapa, São Paulo - SP, 05078-000</t>
  </si>
  <si>
    <t>Animal Life | Hospital Veterinário no Morumbi - SP | Veterinários 24 Horas</t>
  </si>
  <si>
    <t>24H R$550,00 / DN R$210 / NT R$310</t>
  </si>
  <si>
    <t>R. Clarindo, 27 - Vila Andrade, São Paulo - SP, 05718-300</t>
  </si>
  <si>
    <t>Hospital Veterinário Vet Ilha - Plantão 24 horas</t>
  </si>
  <si>
    <t>CNPJ/QRCODE</t>
  </si>
  <si>
    <t>R. Antônio Dib Mussi, 487 - Centro, Florianópolis - SC, 88015-110</t>
  </si>
  <si>
    <t>Perola Negra Pet Shop - PLANTÃO 24H</t>
  </si>
  <si>
    <t>DIURNA R$ 170 / NOTURNA R$210</t>
  </si>
  <si>
    <t>Rua Altamiro Guimarães, 285 - Centro Florianópolis/SC - 88015-510</t>
  </si>
  <si>
    <t>Hospital Veterinário Santa Vida - Palhoça</t>
  </si>
  <si>
    <t>554831971100 // 554840421666</t>
  </si>
  <si>
    <t xml:space="preserve">DIURNO R$ 100,00 // NOTURNO R$ 115,00 // ER R$ 290,00 </t>
  </si>
  <si>
    <t>R. José Bonifácio de Souza, 385, Marginal, BR 101 - Passa Vinte, Palhoça - SC, 88132-140</t>
  </si>
  <si>
    <t>Centro Veterinário Pet Blue 24 horas</t>
  </si>
  <si>
    <t>555133916470 // 555195954221</t>
  </si>
  <si>
    <t>HR COMERCIAL R$ 180,00 // SAB. R$ 200 // NOTURNO R$ 270,00</t>
  </si>
  <si>
    <t>R. Múcio Teixeira, 118 - Menino Deus, Porto Alegre - RS, 90050-360</t>
  </si>
  <si>
    <t>Clinvet Clínica Veterinária 24 horas</t>
  </si>
  <si>
    <t>555134726977 // 5551980241508</t>
  </si>
  <si>
    <t>CANOAS</t>
  </si>
  <si>
    <t>HR COMERCIAL R$ 100,00 // APÓS 19:30HRS R$ 150,00</t>
  </si>
  <si>
    <t>R. Felipe de Noronha, 511 - Mal. Rondon, Canoas - RS, 92020-300</t>
  </si>
  <si>
    <t>Pet Vida Pet Shop e Clínica Veterinária</t>
  </si>
  <si>
    <t>SÃO LUCAS</t>
  </si>
  <si>
    <t>HR COMERCIAL 7h as 19h R$130,00 / Após as 19h R$ 195,00</t>
  </si>
  <si>
    <t>R. Juíz Costa Val, 40 - e 56 - São Lucas, Belo Horizonte - MG, 30240-350</t>
  </si>
  <si>
    <t>Clínica Veterinária 3 Irmãos - Plantão 24h</t>
  </si>
  <si>
    <t>HR COMERCIAL R$ 155,00 / APÓS R$ 210,00</t>
  </si>
  <si>
    <t>R. Luís Delfino, 34 - Centro, Florianópolis - SC, 88015-360</t>
  </si>
  <si>
    <t>Clínica Veterinária Happy Dog 24h</t>
  </si>
  <si>
    <t>553132924727 / 553172293092</t>
  </si>
  <si>
    <t>HR COMERCIAL 7h as 19h R$150,00 / Após as 19h R$ 200,00</t>
  </si>
  <si>
    <t>Av. Francisco Sá, 680 - Prado, Belo Horizonte - MG, 30411-174</t>
  </si>
  <si>
    <t>PET HOME 24h - Hospital Veterinário 24 horas | Atendimento Pet Porto Alegre</t>
  </si>
  <si>
    <t>555130190525 / 555199770644</t>
  </si>
  <si>
    <t>HR COMERCIAL 7h as 18h R$180,00 / Após as 18h R$ 230,00</t>
  </si>
  <si>
    <t>R. Araponga, 437 - Chácara das Pedras, Porto Alegre - RS, 91330-130</t>
  </si>
  <si>
    <t>VetCare Clínica Veterinária 24 horas</t>
  </si>
  <si>
    <t>LOURDES</t>
  </si>
  <si>
    <t>HR COMERCIAL 8h as 20h R$190,00 / Após as 20h R$ 220,00</t>
  </si>
  <si>
    <t>R. da Bahia, 2610 - Lourdes, Belo Horizonte - MG, 30160-019</t>
  </si>
  <si>
    <t>Hpet Hospital Veterinário</t>
  </si>
  <si>
    <t>557132400032 / 5571996950032</t>
  </si>
  <si>
    <t>PITUBA</t>
  </si>
  <si>
    <t>QRCODE MÁQUINA</t>
  </si>
  <si>
    <t>R. Território do Guaporé, 244 - Pituba, Salvador - BA, 41830-520</t>
  </si>
  <si>
    <t>Diagnovet</t>
  </si>
  <si>
    <t>DN R$120,00 / NTR$150,00 / MAD R$180,00 - EMERGENCIAL R$200,00</t>
  </si>
  <si>
    <t>Rua Oswaldo Cruz, 432 - Rio Vermelho, Salvador - BA, 41940-000</t>
  </si>
  <si>
    <t>INPA-Clinica Veterinária &amp; Pet Shop</t>
  </si>
  <si>
    <t>07H ÀS 20H R$105,00 /NT R$ 205,00</t>
  </si>
  <si>
    <t>R. Santa Clara, 327-A - Copacabana, Rio de Janeiro - RJ, 22041-011</t>
  </si>
  <si>
    <t>Clinica Veterinária Vet Care</t>
  </si>
  <si>
    <t>DN R$240,00 / NT R$290,00</t>
  </si>
  <si>
    <t>R. Gen. Glicério, 35 - Laranjeiras, Rio de Janeiro - RJ, 22245-120</t>
  </si>
  <si>
    <t>Veterinária Bichos e Caprichos</t>
  </si>
  <si>
    <t>R$150,00 / NT R$200,00</t>
  </si>
  <si>
    <t>Rua Enes de Sousa, 10 - Tijuca, Rio de Janeiro - RJ, 20521-210</t>
  </si>
  <si>
    <t>DePets Clínica Veterinária 24h - Méier</t>
  </si>
  <si>
    <t>09H ÀS 20H R$90,00 / NT R$180,00</t>
  </si>
  <si>
    <t>R. Lopes da Cruz, 97 - Méier, Rio de Janeiro - RJ, 20720-170</t>
  </si>
  <si>
    <t>Vetfliper - Clínica Veterinária 24 horas</t>
  </si>
  <si>
    <t>R$70,00 / NT R$105,00</t>
  </si>
  <si>
    <t>R. Arquias Cordeiro, 842 - Engenho de Dentro, Rio de Janeiro - RJ, 20770-000</t>
  </si>
  <si>
    <t>Hospital Veterinário Jurerê 24h</t>
  </si>
  <si>
    <t>Rodovia Jornalista Maurício Sirotski Sobrinho, 5667 - Jurerê, Florianópolis - SC, 88053-700</t>
  </si>
  <si>
    <t>Centro Médico Veterinário Campinas | Clínica Veterinária em Campinas | Veterinários 24 Horas</t>
  </si>
  <si>
    <t>CAMPINAS</t>
  </si>
  <si>
    <t>R. Camargo Paes, 680 - Jardim Guanabara, Campinas - SP, 13073-350</t>
  </si>
  <si>
    <t>Animalis - Cirurgia e Clínica Veterinária - Recife</t>
  </si>
  <si>
    <t>558134411161 / WPP 81988637079</t>
  </si>
  <si>
    <t>Av. Dezessete de Agosto, 2001 - Casa Forte, Recife - PE, 52060-485</t>
  </si>
  <si>
    <t>Pharmazoo Clinica Veterinária 24horas</t>
  </si>
  <si>
    <t>DN R$100,00 E NT R$150,00</t>
  </si>
  <si>
    <t>R. João Pires, 130 - Centro, Atibaia - SP, 12940-500</t>
  </si>
  <si>
    <t>Hospital Clínica Veterinária Amparo com Emergência Veterinária 24 horas em Brasília</t>
  </si>
  <si>
    <t>Asa Sul CLS 111 BL.C LJ.36 - Asa Sul, Brasília - DF, 70374-530</t>
  </si>
  <si>
    <t>Clínica Vidanimal</t>
  </si>
  <si>
    <t>R$55,00</t>
  </si>
  <si>
    <t>R. Investigador Wilsom Palmeira, 54 - Amaralina, Salvador - BA, 41900-375</t>
  </si>
  <si>
    <t>Almir Tavares | Hospital Veterinário em Maceió | Veterinários 24 Horas</t>
  </si>
  <si>
    <t>Tv. Dona Constança, 18 - Jatiúca, Maceió - AL, 57025-357</t>
  </si>
  <si>
    <t>PLANETA ANIMAL 24Hrs - Clínica Veterinária e Petshop</t>
  </si>
  <si>
    <t>558233162736 / WPP 82996837736</t>
  </si>
  <si>
    <t>R$150,00 / NT R$215,00</t>
  </si>
  <si>
    <t>LINK DE PIX / CHAVE PIX ALEATÓRIA GERADA</t>
  </si>
  <si>
    <t>Av. Dona Constança de Góes Monteiro, 200 - Jatiúca, Maceió - AL, 57031-520</t>
  </si>
  <si>
    <t>ÉoBicho | Hospital Veterinário 24Hrs</t>
  </si>
  <si>
    <t>R. Gen. João Saleiro Pitão, 1165 - Ponta Verde, Maceió - AL, 57035-210</t>
  </si>
  <si>
    <t>Centro Veterinário de Natal</t>
  </si>
  <si>
    <t>NATAL</t>
  </si>
  <si>
    <t>R. Barão do Curumataú, 2592 - Lagoa Nova, Natal - RN, 59063-130</t>
  </si>
  <si>
    <t>Vet Dort Hospital Veterinário</t>
  </si>
  <si>
    <t>DN R$120,00 / NT R$190,00</t>
  </si>
  <si>
    <t>Av. Vítor Rocha, 06 - Parque Burle, Cabo Frio - RJ, 28913-000</t>
  </si>
  <si>
    <t>Animal Clinic Batel - Hospital Veterinário 24h</t>
  </si>
  <si>
    <t>R$310,00</t>
  </si>
  <si>
    <t>Av. do Batel, 1566 - Batel, Curitiba - PR, 80420-090</t>
  </si>
  <si>
    <t>Hospital Veterinário São Bernardo - Atendimento 24h</t>
  </si>
  <si>
    <t>Seg a sex até as 20h R$ 190,00 e sab/dom R$ 200,00 / 
Após 20h R$ 200,00 e sab/dom R$ 250,00</t>
  </si>
  <si>
    <t>Av. Munhoz da Rocha, 624 - Cabral, Curitiba - PR, 80035-000</t>
  </si>
  <si>
    <t>Hospital Veterinário Santa Fé</t>
  </si>
  <si>
    <t>554130939425 / 41992321131</t>
  </si>
  <si>
    <t>R$155,00 / RISCO DE VIDA R$290,00</t>
  </si>
  <si>
    <t>R. Itacolomi, 1091 - Portão, Curitiba - PR, 81070-150</t>
  </si>
  <si>
    <t>SOU VET HOSPITAL VETERINARIO</t>
  </si>
  <si>
    <t>R$120,00 20H R$170,00</t>
  </si>
  <si>
    <t>Av. Pres. Nilo Peçanha, 349 - Bessa, João Pessoa - PB, 58035-200</t>
  </si>
  <si>
    <t>Hospital Veterinário Lemani Pet 24h</t>
  </si>
  <si>
    <t>DN R$60,00 / NT R$100,00</t>
  </si>
  <si>
    <t>Av. Lineu Machado, 1391 - Jóquei Clube, Fortaleza - CE, 60520-101</t>
  </si>
  <si>
    <t>Latidos e Miados - Hospital Veterinário 24 Horas</t>
  </si>
  <si>
    <t>CABULA/SALVADOR</t>
  </si>
  <si>
    <t>Seg a Sab 8h a 18h R$90,00 / Após 18h domingo e feriado R$ 130,00</t>
  </si>
  <si>
    <t>Estr. das Barreiras, 520 - Cabula, Salvador - BA, 41195-555</t>
  </si>
  <si>
    <t>AMA Pets - 24 Horas</t>
  </si>
  <si>
    <t>5571991884805 / 5571991881521</t>
  </si>
  <si>
    <t>FEDERAÇÃO/SALVADOR</t>
  </si>
  <si>
    <t>Seg a Sab 8h a 18h R$180,00 / Após 18h domingo e feriado R$ 200,00</t>
  </si>
  <si>
    <t>Av. Cardeal da Silva, 111 - Federação, Salvador - BA, 40231-305</t>
  </si>
  <si>
    <t>HVpop - Hospital Veterinário Popular do Rio Vermelho</t>
  </si>
  <si>
    <t>R.VERMELHO/SALVADOR</t>
  </si>
  <si>
    <t>Seg a Sex 8h as 18h R$55,00 Sab 8h as 14h R$55,00 + taxa de emergência R$ 120,00 / 
Após os horários e domingo R$110,00 + taxa de emergência R$ 170,00</t>
  </si>
  <si>
    <t>R. Marquês de Monte Santo, 364 - Rio Vermelho, Salvador - BA, 41940-330</t>
  </si>
  <si>
    <t>Casa do Veterinário - Clínica Veterinária 24h</t>
  </si>
  <si>
    <t>557133142640 / 557197217579</t>
  </si>
  <si>
    <t>Seg a Sab 8h a 18h R$ 95,00 / Após as 18h domingo e feriado R$ 100,00</t>
  </si>
  <si>
    <t>Av. Caminho de Areia, 64 - Cidade Baixa, Salvador - BA, 40444-360</t>
  </si>
  <si>
    <t>Clivepa Veterinária</t>
  </si>
  <si>
    <t>PATAMARES/SALVADOR</t>
  </si>
  <si>
    <t>Até meia noite R$ 190,00 / Após meia noite R$ 250,00</t>
  </si>
  <si>
    <t>Av. Octávio Mangabeira, 2159A - Patamares, Salvador - BA, 41680-000</t>
  </si>
  <si>
    <t>CENTRO DE ATENÇÃO A SAUDE ANIMAL - CASA</t>
  </si>
  <si>
    <t>Seg a Sex 8h as 16:30h e Sab 8h as 12h R$ 100,00 / Após os horários, domingo e feriado R$ 150</t>
  </si>
  <si>
    <t>Rua Trajano Alves de Aguiar, 156 - Cidade dos Funcionários, Fortaleza - CE, 60822-060</t>
  </si>
  <si>
    <t>Plantão Pet - Hospital Veterinário 24 horas</t>
  </si>
  <si>
    <t>558531044435 / 5585991068741</t>
  </si>
  <si>
    <t>EDSON QUEIROZ</t>
  </si>
  <si>
    <t>R$120</t>
  </si>
  <si>
    <t>Av. Edilson Brasil Soares, 2183 - Edson Queiroz, Fortaleza - CE, 60834-005</t>
  </si>
  <si>
    <t>Vetclinic | Hospital Veterinário 24 Horas</t>
  </si>
  <si>
    <t>558531218272 / 558588195109</t>
  </si>
  <si>
    <t>PARANGABA</t>
  </si>
  <si>
    <t>Seg a Sab 7h as 18h R$ 110,00 / Após 19h, domingo e feriado R$ 160,00</t>
  </si>
  <si>
    <t>Av. Américo Barreira, 6360 - Parangaba, Fortaleza - CE, 60440-240</t>
  </si>
  <si>
    <t>JOQUEI CLUBE</t>
  </si>
  <si>
    <t>Seg a Sab 7h as 19h R$ 60,00 / Após 19h, domingo e feriado R$ 100,00</t>
  </si>
  <si>
    <t>QRCODE / E-MAIL</t>
  </si>
  <si>
    <t>Clínica Veterinaria Asa Norte</t>
  </si>
  <si>
    <t>ASA NORTE</t>
  </si>
  <si>
    <t>Seg a Sab 8h as 20h R$ 170,00 / Após 20h, domingo e feriado R$ 210,00</t>
  </si>
  <si>
    <t>Scrn Qd 706 - 7 Bl G Loja 21 1 - Asa Norte, Brasília - DF, 70740-670</t>
  </si>
  <si>
    <t>Animal Life 24 horas - Centro Avançado de Especialidades Veterinárias</t>
  </si>
  <si>
    <t>556135424076 / 556196972784</t>
  </si>
  <si>
    <t>TAGUATINGA NORTE</t>
  </si>
  <si>
    <t>Seg a sex 9h as 19h R$ 95,00 / Após as 19h até meia noite R$ 130,00
Sab 9h as 19h R$ 120,00 / Após as 19h R$ 150,00
Domingo e feriado 9h as 19h R$ 130,00 / Após as 19h até meia noite R$ 165,00</t>
  </si>
  <si>
    <t>QRCODE / CNPJ</t>
  </si>
  <si>
    <t>QNJ 26 Lote 12 Lojas 01/02, Taguatinga Norte, Brasília - DF, 72140-260</t>
  </si>
  <si>
    <t>Movimento Animal - Clínica Veterinária na Asa Norte 24 Horas</t>
  </si>
  <si>
    <t>556130372425 / 5561999668070</t>
  </si>
  <si>
    <t>9h as 18h R$ 180 / No plantão R$ 200</t>
  </si>
  <si>
    <t>40 - SCRN 710/711, Bloco E, Loja 53 - Asa Norte, Brasília - DF, 70750-650</t>
  </si>
  <si>
    <t>Hospital Veterinário 4 Patas (Duas unidades Recife e Olinda)</t>
  </si>
  <si>
    <t>558130220002 / 558199420136</t>
  </si>
  <si>
    <t>RECIFE/OLINDA</t>
  </si>
  <si>
    <t>Seg a Sab até as 19h R$ 100,00 / Após as 19h, domingos e feriados R$ 120,00</t>
  </si>
  <si>
    <t>Av. Gov. Agamenon Magalhães, 141 - Paissandu, Recife - PE, 52010-075 / 
R. Maria Ramos, 777 - Bairro Novo, Olinda - PE, 53030-050, Brasil</t>
  </si>
  <si>
    <t>VetMais Hospital Veterinário 24h</t>
  </si>
  <si>
    <t>7h as 19h R$ 120,00 / 19h as 07h R$ 140,00</t>
  </si>
  <si>
    <t>R. Guilherme Pinto, 380 - Derby, Recife - PE, 52010-210</t>
  </si>
  <si>
    <t>Caldas Vet Clinica Veterinaria 24 Horas</t>
  </si>
  <si>
    <t>55 649243-6535</t>
  </si>
  <si>
    <t>CALDAS NOVAS</t>
  </si>
  <si>
    <t>Plantão R$200,00</t>
  </si>
  <si>
    <t>CHAVE SERÁ INFORMADA NO CM</t>
  </si>
  <si>
    <t xml:space="preserve">Av. Bento de Godoy Neto - Recanto dos eucaliptos, Caldas Novas - GO, 75681-570
</t>
  </si>
  <si>
    <t>Universo Pet Clínica Veterinária 24 h</t>
  </si>
  <si>
    <t>55 6492066869</t>
  </si>
  <si>
    <t xml:space="preserve">CALDAS NOVAS </t>
  </si>
  <si>
    <t xml:space="preserve">R. Quatorze - Itaici I, Caldas Novas - GO, 75686-003
</t>
  </si>
  <si>
    <t>Clínica Veterinária Vida Pet</t>
  </si>
  <si>
    <t>SERRA/ESPIRITO SANTO</t>
  </si>
  <si>
    <t>DN R$100,00 / NT R$200,00</t>
  </si>
  <si>
    <t>R. Mario de Andrade, 32 - São Diogo I, Serra - ES, 29163-270</t>
  </si>
  <si>
    <t>Vet Saúde Hospital Veterinário 24 horas</t>
  </si>
  <si>
    <t>VITÓRIA</t>
  </si>
  <si>
    <t>R$130,00 / NT R$160,00</t>
  </si>
  <si>
    <t>R. Italina Pereira Mota, 250 - Jardim Camburi, Vitória - ES, 29090-070</t>
  </si>
  <si>
    <t>Clínica veterinária VETKAP</t>
  </si>
  <si>
    <t xml:space="preserve">R$140,00 / NT R$180,00 </t>
  </si>
  <si>
    <t>R. Filogônio Mota, 115 - Jardim Camburi, Vitória - ES, 29090-190</t>
  </si>
  <si>
    <t>Hospital Veterinário São Francisco de Assis</t>
  </si>
  <si>
    <t>R$221,00 + EMERGÊNCIA R$120,00</t>
  </si>
  <si>
    <t>R. Espírito Santo, 2143 - Lourdes, Belo Horizonte - MG, 30160-032</t>
  </si>
  <si>
    <t>SOS | Hospital Veterinário em Vila Velha | Veterinários 24 Horas</t>
  </si>
  <si>
    <t>R$180,00 / NT R$230,00</t>
  </si>
  <si>
    <t>R. João Cipreste Filho, 52 - Praia das Gaivotas, Vila Velha - ES, 29102-584</t>
  </si>
  <si>
    <t>C.E.S.A - Centro de Especialidades em Saúde Animal</t>
  </si>
  <si>
    <t>R$160,00 / NT R$220,00</t>
  </si>
  <si>
    <t>n - R. Alm. Tamandaré, 123 - Praia do Suá, Vitória - ES, 29052-190</t>
  </si>
  <si>
    <t>Cães e Gatos Clínica Veterinária</t>
  </si>
  <si>
    <t xml:space="preserve"> DN R$120,00 / NT R$240,00 </t>
  </si>
  <si>
    <t>Av. Pres. Costa e Silva, 705 - Republica, Vitória - ES, 29070-153</t>
  </si>
  <si>
    <t>Vet Life Hospital Veterinário em Caraguatatuba</t>
  </si>
  <si>
    <t>CARAGUATATUBA</t>
  </si>
  <si>
    <t>CNPJ/QRCODE FIXO</t>
  </si>
  <si>
    <t>Av. Espírito Santo, 428 - Jardim Primavera, Caraguatatuba - SP, 11660-730</t>
  </si>
  <si>
    <t>Clínica Veterinária Cevet Guarapari Atendimento 24 Horas</t>
  </si>
  <si>
    <t>GUARAPARI</t>
  </si>
  <si>
    <t>DN R$150,00 / NT R$200,00</t>
  </si>
  <si>
    <t>R. Fernando de Abreu, 19 - São Judas Tadeu, Guarapari - ES, 29200-490</t>
  </si>
  <si>
    <t>Univet Clínica Veterinária 24h</t>
  </si>
  <si>
    <t>R$180,00 / R$200,00</t>
  </si>
  <si>
    <t>R. Maj. João Téles, 27 - Jabotiana, Aracaju - SE, 49095-230</t>
  </si>
  <si>
    <t>Diagnovet 24h</t>
  </si>
  <si>
    <t>DN R$140,00 / NT R$160,00 / EMERGÊNCIA R$235,00</t>
  </si>
  <si>
    <t>Av. Paulo VI, 215 - Inácio Barbosa, Aracaju - SE, 49040-460</t>
  </si>
  <si>
    <t>Amigo Meu Veterinária</t>
  </si>
  <si>
    <t>R$230,00</t>
  </si>
  <si>
    <t>Bloco B - Loja 38 Acesso para, CLS 115 - Asa Sul, Brasília - DF, 70385-520</t>
  </si>
  <si>
    <t>Clínica Veterinária Quatro Patas</t>
  </si>
  <si>
    <t>DN R$120,00 / NT R$150,00</t>
  </si>
  <si>
    <t>Av. Menino Marcelo, 9401 - Serraria, Maceió - AL, 57046-000</t>
  </si>
  <si>
    <t>Hospital de Clínica Veterinária Blumenau</t>
  </si>
  <si>
    <t>DN R$200,00 / NT R$310,00</t>
  </si>
  <si>
    <t>R. Paraíba, 217 - Victor Konder, Blumenau - SC, 89012-130</t>
  </si>
  <si>
    <t>Bluvet Clínica Veterinária 24 HORAS!</t>
  </si>
  <si>
    <t>DN R$150,00 / NT R$250,00</t>
  </si>
  <si>
    <t>R. Benjamin Constant, 2868 - Vila Nova, Blumenau - SC, 89035-100</t>
  </si>
  <si>
    <t>Tierwelt - Clínica Veterinária &amp; Pet Shop (Plantão 24h)</t>
  </si>
  <si>
    <t>DN R$150,00 / NT R$230,00</t>
  </si>
  <si>
    <t>R. Des. Pedro Silva, 179 - Victor Konder, Blumenau - SC, 89012-150</t>
  </si>
  <si>
    <t>Hospital Veterinário Santa Catarina</t>
  </si>
  <si>
    <t>DN R$210,00 / NT R$340,00</t>
  </si>
  <si>
    <t>R. Iguaçu, 177 - Itoupava Seca, Blumenau - SC, 89030-030</t>
  </si>
  <si>
    <t>EKO CLÍNICA VETERINÁRIA</t>
  </si>
  <si>
    <t>DN R$90,00 / NT R$120,00</t>
  </si>
  <si>
    <t>Av. Arthur Thomas, 1456 - Sabará, Londrina - PR, 86065-000</t>
  </si>
  <si>
    <t>HOSPVET CLÍNICA VETERINÁRIA 24H</t>
  </si>
  <si>
    <t>Av. Arthur Thomas, 1540 - Sabará, Londrina - PR, 86065-000</t>
  </si>
  <si>
    <t>Vila Animal Clínica Veterinária 24 horas</t>
  </si>
  <si>
    <t>R. Bacharel José de Oliveira Curchatuz, 66 - Bessa, João Pessoa - PB, 58036-130</t>
  </si>
  <si>
    <t>Espaço Pet Clínica</t>
  </si>
  <si>
    <t>R. Empresário João Rodrigues Alves, 131 - Bancários, João Pessoa - PB, 58051-022</t>
  </si>
  <si>
    <t>Pet Pillow Clínica Veterinária</t>
  </si>
  <si>
    <t>A partir R$450,00</t>
  </si>
  <si>
    <t>Av. Brigadeiro Luís Antônio, 4565 - Jardim Paulista, São Paulo - SP, 01401-002</t>
  </si>
  <si>
    <t>Hospital Veterinário Santa Vida - Agronômica</t>
  </si>
  <si>
    <t>R$100,00 / NT R$115,00</t>
  </si>
  <si>
    <t>R. Delminda Silveira, 855 - Agronômica, Florianópolis - SC, 88025-500</t>
  </si>
  <si>
    <t>S.O.S Animais Clínica Veterinária - Plantão 24 Horas</t>
  </si>
  <si>
    <t>DN R$170,00 / NT R$240,00 / APÓS 00H R$300,00</t>
  </si>
  <si>
    <t>Rua Desembargador Flávio Tavares da Cunha Mello, 145 - Coqueiros, Florianópolis - SC, 88085-710</t>
  </si>
  <si>
    <t>VET'S - Hospital Veterinário 24h</t>
  </si>
  <si>
    <t>DN R$100,00 / NT R$120,00</t>
  </si>
  <si>
    <t>Av. Getúlio Vargas, nº 675 - Centro, Feira de Santana - BA, 44001-325</t>
  </si>
  <si>
    <t>Clinica Veterinária 24h - Pet Clin Feira de Santana</t>
  </si>
  <si>
    <t>DN R$100,00 / NT R$140,00</t>
  </si>
  <si>
    <t>Av. Antônio Carlos Magalhães, 1372 - Cidade Nova, Feira de Santana - BA, 44054-005</t>
  </si>
  <si>
    <t>Cuidar Clínica Veterinária</t>
  </si>
  <si>
    <t>CAMPINA GRANDE</t>
  </si>
  <si>
    <t>R$120,00 / NT R$150,00</t>
  </si>
  <si>
    <t>R. Aprígio Pereira Nepomuceno, 332 - Liberdade, Campina Grande - PB, 58414-370</t>
  </si>
  <si>
    <t>Hospital Veterinário Popular J. Távora</t>
  </si>
  <si>
    <t>DN R$70,00 / NT R$100,00</t>
  </si>
  <si>
    <t>R. Prof. Mário Rocha, 75 - Joaquim Távora, Fortaleza - CE, 60120-200</t>
  </si>
  <si>
    <t>Clínica Veterinária Garra - 24 horas</t>
  </si>
  <si>
    <t>DN R$150,00 / NT R$200,00 - EMERGÊNCIA R$250,00</t>
  </si>
  <si>
    <t>Rua Frei Mansueto, 1427 - Aldeota, Fortaleza - CE, 60175-070</t>
  </si>
  <si>
    <t>Cinvet Hospital Veterinário 24 Horas</t>
  </si>
  <si>
    <t>DN R$130,00 / NT R$180,00</t>
  </si>
  <si>
    <t>R. Dr. Gilberto Studart, 800 - Cocó, Fortaleza - CE, 60192-105</t>
  </si>
  <si>
    <t>Hospital Veterinário PetSanus 24h</t>
  </si>
  <si>
    <t>DN R$110,00 / NT R$120,00</t>
  </si>
  <si>
    <t>Av. Washington Soares, 2416 - São Bento, Fortaleza - CE, 60810-670</t>
  </si>
  <si>
    <t>Catus - Clínica Veterinária 24h exclusiva para gatos</t>
  </si>
  <si>
    <t>R$240,00</t>
  </si>
  <si>
    <t>R. Fiuza de Pontes, 533 - Aldeota, Fortaleza - CE, 60140-195</t>
  </si>
  <si>
    <t>Veterinária Toca Dos Bichos</t>
  </si>
  <si>
    <t>DN R$120,00 / NT R$180,00</t>
  </si>
  <si>
    <t>R. da Geografia, 11 - Quadra 7 - Cohafuma, São Luís - MA, 65074-800</t>
  </si>
  <si>
    <t>Clinica veterinária Ilha Pet 24h e Hotel pet</t>
  </si>
  <si>
    <t>R. Vinte e Três, 14 - Cohajap, São Luís - MA, 65072-720</t>
  </si>
  <si>
    <t>Pet Family | Hospital Veterinário 24 horas</t>
  </si>
  <si>
    <t>DN R$180,00 / NT R$220,00</t>
  </si>
  <si>
    <t>R. Agulhas Negras, 19 - Quadra 05 - Calhau, São Luís - MA, 65071-640</t>
  </si>
  <si>
    <t>Lú Clínica Veterinária e Pet Shop 24hs</t>
  </si>
  <si>
    <t>AM</t>
  </si>
  <si>
    <t>MANAUS</t>
  </si>
  <si>
    <t>DN R$90,00 / NT R$110,00</t>
  </si>
  <si>
    <t>R. Cmte. Noberto Von Gal, 130 - Da Paz, Manaus - AM, 69049-100</t>
  </si>
  <si>
    <t>Clínica Veterinária Animal Help - 24 Horas Manaus - Pet Shop</t>
  </si>
  <si>
    <t>Av. Tefé, 516 - Cachoeirinha, Manaus - AM, 69065-020</t>
  </si>
  <si>
    <t>Hospital Veterinário Planalto - Clínica Veterinária Manaus</t>
  </si>
  <si>
    <t>DN R$100,00 / NT R$150,00</t>
  </si>
  <si>
    <t>R. Bogotá, 10 - Quadra 54 - Planalto, Manaus - AM, 69045-250</t>
  </si>
  <si>
    <t>Bicho de Patas Clinica Veterinária 24 horas</t>
  </si>
  <si>
    <t>DN R$100,00 / NT R$130,00</t>
  </si>
  <si>
    <t>R. Expedicionário Brasileiro, 2524 - Jardim Esperança, Arapiraca - AL, 57306-415</t>
  </si>
  <si>
    <t>Clínica Veterinária Belo Horizonte (Prado)</t>
  </si>
  <si>
    <t>DN R$70,00/ NT R$100,00</t>
  </si>
  <si>
    <t>R. Turmalina, 39 - Prado, Belo Horizonte - MG, 30411-117</t>
  </si>
  <si>
    <t>Clínica Veterinária São Geraldo Ltda - 24H</t>
  </si>
  <si>
    <t>DN R$240,00 / NT R$270,00</t>
  </si>
  <si>
    <t>Av. Assis Chateaubriand, 26 - Floresta, Belo Horizonte - MG, 30150-100</t>
  </si>
  <si>
    <t>Clínica Veterinária Pampulha - Veterinário em BH</t>
  </si>
  <si>
    <t>Av. Cel. José Dias Bicalho, 262 - São Luiz, Belo Horizonte - MG, 31275-050</t>
  </si>
  <si>
    <t>DN R$170,00 / NT R$220,00</t>
  </si>
  <si>
    <t>Rua Donato da Fonseca, 174 - Coracao de Jesus, Belo Horizonte - MG, 30380-260</t>
  </si>
  <si>
    <t>Bichomania Clínica Veterinária 24hs</t>
  </si>
  <si>
    <t>555199728739 / 555133420828</t>
  </si>
  <si>
    <t>8h as 19h agendado R$ 170,00 / PA R$ 195,00 / Emergência R$ 250,00</t>
  </si>
  <si>
    <t>R. Dom Pedro II, 1241 - Higienópolis, Porto Alegre - RS, 90550-143</t>
  </si>
  <si>
    <t>POA PETCARE 24H - Clínica Veterinária 24 horas</t>
  </si>
  <si>
    <t>PA R$ 250,00</t>
  </si>
  <si>
    <t>Av. João Wallig, 2247 - Chácara das Pedras, Porto Alegre - RS, 91340-001</t>
  </si>
  <si>
    <t>Centro Veterinário Barão do Amazonas</t>
  </si>
  <si>
    <t>555133365239 / 555193399082</t>
  </si>
  <si>
    <t>8h as 18h R$ 190,00 / 18h as 8h 230,00</t>
  </si>
  <si>
    <t>R. Barão do Amazonas, 1450 - Jardim Botânico, Porto Alegre - RS, 90670-002</t>
  </si>
  <si>
    <t>Dr. Animal - Clínica Veterinária 24h</t>
  </si>
  <si>
    <t>555133768449 / 5551981913050</t>
  </si>
  <si>
    <t>A PARTIR DE R$ 90,00</t>
  </si>
  <si>
    <t>R. Carazinho, 412 - Petrópolis, Porto Alegre - RS, 90460-190</t>
  </si>
  <si>
    <t>Pet Care</t>
  </si>
  <si>
    <t>DN R$174,00 / NT R$285,00 - EMERGÊNCIA R$531,00</t>
  </si>
  <si>
    <t>Av. do Estado Dalmo Vieira, 1340 - Ariribá, Balneário Camboriú - SC, 88338-640</t>
  </si>
  <si>
    <t>Guapeka Hospital Veterinário</t>
  </si>
  <si>
    <t>R. Dr. Acácio Bernardes, 279 - Centro, Camboriú - SC, 88340-413</t>
  </si>
  <si>
    <t>Clinivet Camboriú</t>
  </si>
  <si>
    <t>R. Porto Alegre, 387 - Centro, Camboriú - SC, 88340-251</t>
  </si>
  <si>
    <t>DN R$90,00 / NT R$150,00</t>
  </si>
  <si>
    <t>Dermato Vet</t>
  </si>
  <si>
    <t xml:space="preserve"> R$100,00</t>
  </si>
  <si>
    <t>Rua 1500 - Centro, Balneário Camboriú - SC, 88330-801</t>
  </si>
  <si>
    <t>Aconchego</t>
  </si>
  <si>
    <t>DN R$149,00 / NT R$250,00</t>
  </si>
  <si>
    <t>R. Expedicionário Marqueti, 120 - Fazenda, Itajaí - SC, 88301-620</t>
  </si>
  <si>
    <t>Adharas Hospital Veterinário</t>
  </si>
  <si>
    <t>ITAJAÍ</t>
  </si>
  <si>
    <t>Av. Sete de Setembro, 1084 - Fazenda, Itajaí - SC, 88301-202</t>
  </si>
  <si>
    <t>Clinicão Clínica Veterinária 24 Horas Itajaí</t>
  </si>
  <si>
    <t>DN R$140,00 / NT R$230,00</t>
  </si>
  <si>
    <t>AV: Reinaldo Schmithausen, 1550 - Cordeiros, Itajaí - SC, 88310-001</t>
  </si>
  <si>
    <t>Clínica Veterinária Patas &amp; Pelos</t>
  </si>
  <si>
    <t>PETRÓPOLIS</t>
  </si>
  <si>
    <t>R. Quissamã, 1227 - Quissamã, Petrópolis - RJ, 25615-210</t>
  </si>
  <si>
    <t>Clínica Veterinária 24 horas É o Bicho Bingen</t>
  </si>
  <si>
    <t>DN R$130,00 / NT R$160,00</t>
  </si>
  <si>
    <t>R. Bingen, 1371 - Bingen, Petrópolis - RJ, 25660-007</t>
  </si>
  <si>
    <t>Hospital Veterinário de Corrêas</t>
  </si>
  <si>
    <t>DN R$180,00 / NT R$250,00</t>
  </si>
  <si>
    <t>Estr. União e Indústria, 4399 - Cascata do Imbuí, Petrópolis - RJ, 25720-110</t>
  </si>
  <si>
    <t>Pronto Vet Clínica Veterinária</t>
  </si>
  <si>
    <t>DN R$110,00 / NT R$140,00</t>
  </si>
  <si>
    <t>R. Carlos Gomes, 278 - Centro, Petrópolis - RJ, 25680-020</t>
  </si>
  <si>
    <t>Veterinária de Nogueira</t>
  </si>
  <si>
    <t>DN R$140,00 / NT R$180,00</t>
  </si>
  <si>
    <t>Av. Leopoldina, 265 - Nogueira, Petrópolis - RJ, 25730-203</t>
  </si>
  <si>
    <t>Clipet Clínica Veterinária</t>
  </si>
  <si>
    <t>DN R$150,00 / NT R$300,00</t>
  </si>
  <si>
    <t>Av. Alm. Tamandaré, 253 - Itaquanda, Ilhabela - SP, 11630-000</t>
  </si>
  <si>
    <t>Hospital Veterinário 4 Patas - Joinville</t>
  </si>
  <si>
    <t>DN R$125,00 / NT R$150,00 / MD R$190,00</t>
  </si>
  <si>
    <t>R. Cel. Santiago, 819 - Anita Garibaldi, Joinville - SC, 89203-560</t>
  </si>
  <si>
    <t>Cães &amp; Gatos Centro Veterinário</t>
  </si>
  <si>
    <t>AGENDADO R$150,00 / PA R$180,00 / EMERGÊNCIA R$350,00</t>
  </si>
  <si>
    <t>R. Jaraguá, 441 - América, Joinville - SC, 89204-650</t>
  </si>
  <si>
    <t>Clínica Veterinária - Casa de Noé</t>
  </si>
  <si>
    <t>DN R$150,00 / NT R$240,00</t>
  </si>
  <si>
    <t xml:space="preserve"> CNPJ</t>
  </si>
  <si>
    <t>R. Marquês de Olinda, 2200 - Glória, Joinville - SC, 89216-100</t>
  </si>
  <si>
    <t>Hospital Veterinário Pronto Dog &amp; Cat</t>
  </si>
  <si>
    <t>DN R$160,00 / NT R$180,00 / MD R$250,00</t>
  </si>
  <si>
    <t>R. Raul Píres Barbosa, 654 - Chácara Cachoeira, Campo Grande - MS, 79040-150</t>
  </si>
  <si>
    <t>Clínica Veterinária e Pet Shop Bourgelat</t>
  </si>
  <si>
    <t>DN R$180,00 / NT R$230,00 / MD R$260,00</t>
  </si>
  <si>
    <t>Av. Mato Grosso, 1291 - Centro, Campo Grande - MS, 79002-232</t>
  </si>
  <si>
    <t>Pet Dream Hospital Veterinário 24h Boa Viagem</t>
  </si>
  <si>
    <t>DN R$130,00 / NT R$150,00</t>
  </si>
  <si>
    <t>R. Padre Bernadino Pessoa, 68 - Boa Viagem, Recife - PE, 51020-210</t>
  </si>
  <si>
    <t>R. Nestor Silva, 98 - Casa Forte, Recife - PE, 52060-410</t>
  </si>
  <si>
    <t>Caninos &amp; Felinos 24h</t>
  </si>
  <si>
    <t>R. Gen. Artur Oscár, 85 - Rosarinho, Recife - PE, 52050-430</t>
  </si>
  <si>
    <t>Bicho Mimado Pet shop - Hospital 24h</t>
  </si>
  <si>
    <t>DN R$110,00 / NT R$130,00</t>
  </si>
  <si>
    <t>Av. Caxangá, 2020 - Cordeiro, Recife - PE, 50711-000</t>
  </si>
  <si>
    <t>VetVita Clínica Veterinária 24 horas - Foz do Iguaçu - PR</t>
  </si>
  <si>
    <t>DN R$150,00 / NT R$180,00</t>
  </si>
  <si>
    <t>Rua Belarmino de Mendonça, 103 - Centro, Foz do Iguaçu - PR, 85851-100</t>
  </si>
  <si>
    <t>Clínica Veterinária Foz Pet</t>
  </si>
  <si>
    <t>Av. Iguaçu, N°593 - Vila Yolanda, Foz do Iguaçu - PR, 85853-230</t>
  </si>
  <si>
    <t>Hospital Veterinário e Pet Center - Prontodog - Foz do Iguaçu</t>
  </si>
  <si>
    <t>DN R$200,00 / NT R$250,00</t>
  </si>
  <si>
    <t>R. Mal. Deodoro, 715 - Centro, Foz do Iguaçu - PR, 85851-030</t>
  </si>
  <si>
    <t>Vetfoz Clínica Veterinária</t>
  </si>
  <si>
    <t>DN R$250,00 / NT R$200,00 - ESPECIALISTA R$280,00</t>
  </si>
  <si>
    <t>R. Patrulheiro Venanti Otremba, 390 - Centro, Foz do Iguaçu - PR, 85852-020</t>
  </si>
  <si>
    <t>Hospital Veterinário Popvet</t>
  </si>
  <si>
    <t>DN R$145,00 / NT R$195,00 - EMERGÊNCIA R$230,00</t>
  </si>
  <si>
    <t>Av. Maceió, 23 - Jardim Petropolis, Foz do Iguaçu - PR, 85868-140</t>
  </si>
  <si>
    <t>Hospital Veterinário Pet Support - Zona Sul</t>
  </si>
  <si>
    <t>DN R$189,00 / NT R$265,00</t>
  </si>
  <si>
    <t>R. Dr. Campos Velho, 1366 - Cristal, Porto Alegre - RS, 90820-001</t>
  </si>
  <si>
    <t>Hospital Veterinário Pet Support - Zona Norte</t>
  </si>
  <si>
    <t>DN R$107,00 / NT R$163,00</t>
  </si>
  <si>
    <t>Av. Plínio Brasil Milano, 1135 - Higienópolis, Porto Alegre - RS, 90520-002</t>
  </si>
  <si>
    <t>Pet Dream</t>
  </si>
  <si>
    <t>GUARARAPES</t>
  </si>
  <si>
    <t>APENAS QRCODE MAQUINA</t>
  </si>
  <si>
    <t>Av. Bernardo Vieira de Melo, 4065 - Piedade, Jaboatão dos Guararapes - PE, 54400-000</t>
  </si>
  <si>
    <t>Bixo's</t>
  </si>
  <si>
    <t>Av. Ayrton Senna da Silva, 751 - Piedade, Jaboatão dos Guararapes - PE, 54440-210</t>
  </si>
  <si>
    <t>Hospital Veterinário Harmonia - HVH - Unidade Boa Viagem</t>
  </si>
  <si>
    <t>DN R$120,00 / NT R$165,00</t>
  </si>
  <si>
    <t>Av. Eng. Domingos Ferreira, 3628 - Boa Viagem, Recife - PE, 51011-050</t>
  </si>
  <si>
    <t>Hospital Veterinário Harmonia - HVH - Unidade Casa Forte</t>
  </si>
  <si>
    <t>DN R$120,00 / NT R$165,01</t>
  </si>
  <si>
    <t>Estr. do Encanamento, 585 - Casa Forte, Recife - PE, 52070-000</t>
  </si>
  <si>
    <t>Hospital Veterinário Harmonia - HVH - Unidade Madalena</t>
  </si>
  <si>
    <t>DN R$120,00 / NT R$165,02</t>
  </si>
  <si>
    <t>Av. Visc. de Albuquerque, 894 - Madalena, Recife - PE, 50610-090</t>
  </si>
  <si>
    <t>Hospital Veterinário Seres Salvador Paralela</t>
  </si>
  <si>
    <t>DN R$140,00 / NT R$170,00</t>
  </si>
  <si>
    <t>Av. Luís Viana Filho, 2768 - Imbuí, Salvador - BA, 41720-200</t>
  </si>
  <si>
    <t>Popular Vet - Clínica Veterinária 24H em Salvador</t>
  </si>
  <si>
    <t>DN R$50,00 / NT R$90,00 / MD R$150,00</t>
  </si>
  <si>
    <t>Rua cônego pereira, Largo das Sete Portas, 01, Salvador - BA, 40255-195</t>
  </si>
  <si>
    <t>Semeve - Serviço Médico Veterinário | Brotas</t>
  </si>
  <si>
    <t>Ladeira do Acupe, 50 - Brotas, Salvador - BA, 40290-160</t>
  </si>
  <si>
    <t>Semeve - Serviço Médico Veterinário | Barra</t>
  </si>
  <si>
    <t>Av. Centenário, 2634 - Barra, Salvador - BA, 40155-150</t>
  </si>
  <si>
    <t>Semeve - Serviço Médico Veterinário | Itaigara</t>
  </si>
  <si>
    <t>Rua das Hortênsias, 800 - Pituba, Salvador - BA, 41810-010</t>
  </si>
  <si>
    <t>Pet Master | Centro Veterinário 24h - Salão - PetShop</t>
  </si>
  <si>
    <t>DN R$150,00 / NT R$160,00</t>
  </si>
  <si>
    <t>R. Alexandre Herculano, 91 - Itaigara, Salvador - BA, 41810-395</t>
  </si>
  <si>
    <t>Vet Hope Clínica Veterinária</t>
  </si>
  <si>
    <t>Av. Princesa Isabel, 483 - Barra, Salvador - BA, 40130-030</t>
  </si>
  <si>
    <t>Kennel Veterinária - Cabula - Clínica Veterinária 24h - Emergência Veterinária</t>
  </si>
  <si>
    <t>DN R$99,00 / NT R$130,00</t>
  </si>
  <si>
    <t>R. Silveira Martins, 208 - Cabula, Salvador - BA, 41150-000</t>
  </si>
  <si>
    <t>Promev</t>
  </si>
  <si>
    <t>R. Xingu, 58 - Stiep, Salvador - BA, 41770-130</t>
  </si>
  <si>
    <t>Animal Ville</t>
  </si>
  <si>
    <t>DN R$85,00 / NT R$130,00 / MD R$200,00</t>
  </si>
  <si>
    <t>Rua Artêmio de, R. Artêmio Castro Valente, nº 550 - Canabrava, Salvador - BA, 41260-300</t>
  </si>
  <si>
    <t>Bichos SA Veterinário Clinica Veterinária 24 horas</t>
  </si>
  <si>
    <t>Av. Engenheiro Raymundo Carlos Nery, 26 - terreo - Cajazeiras 10, Salvador - BA, 41340-280</t>
  </si>
  <si>
    <t>Ame Pet - Hospital Veterinário</t>
  </si>
  <si>
    <t>Av. Octávio Mangabeira, 3515 - Costa Azul, Salvador - BA, 41760-100</t>
  </si>
  <si>
    <t>DN R$180,00 / NT R$360,00</t>
  </si>
  <si>
    <t>CitVet Centro Veterinário Especializado 24 Horas</t>
  </si>
  <si>
    <t>DN R$170,00 / NT R$250,00</t>
  </si>
  <si>
    <t>R. Manoel Saraíva, 118 - Vila Campesina, Osasco - SP, 06023-060</t>
  </si>
  <si>
    <t>Hospital Veterinário São Paulo</t>
  </si>
  <si>
    <t>DN R$50,00 / NT R$90,00 / MD R$110,00</t>
  </si>
  <si>
    <t>Av. Nordestina, 581 - Vila Americana, São Paulo - SP, 08021-000</t>
  </si>
  <si>
    <t>Hospital Veterinário Saúde - Clínica Pet - Pronto Socorro 24 horas</t>
  </si>
  <si>
    <t>DN R$120,00 / NT R$200,00</t>
  </si>
  <si>
    <t>R. Nossa Sra. da Saúde, 366 - Jardim Previdencia, São Paulo - SP, 04159-000</t>
  </si>
  <si>
    <t>Hospital Veterinário 24 Horas ProntVet - Casa Verde</t>
  </si>
  <si>
    <t>DN R$220,00 / NT R$280,00</t>
  </si>
  <si>
    <t>R. Frederico Penteado Júnior, 35 - Casa Verde, São Paulo - SP, 02517-100</t>
  </si>
  <si>
    <t>WeVets Rebouças</t>
  </si>
  <si>
    <t>DN R$297,00 / NT R$337,00</t>
  </si>
  <si>
    <t>Av. Rebouças, 1615 - Pinheiros, São Paulo - SP, 05401-250</t>
  </si>
  <si>
    <t>Pet Care Hospital Veterinário Unidade Pacaembu</t>
  </si>
  <si>
    <t>DN R$460,00 / NT R$545,00</t>
  </si>
  <si>
    <t>Av. Pacaembu, 1839 - Consolação, São Paulo - SP, 01234-001</t>
  </si>
  <si>
    <t>Hospital Vet Popular Vila Carrão</t>
  </si>
  <si>
    <t>DN R$48,00 / NT R$70,00 / MD R$110,00 - EMERGÊNCIA R$161,00</t>
  </si>
  <si>
    <t>Av. Conselheiro Carrão, 2694 - Vila Carrão, São Paulo - SP, 03402-002</t>
  </si>
  <si>
    <t>Hospital Veterinário Santa Inês</t>
  </si>
  <si>
    <t>DN R$234,00 / NT R$311,00</t>
  </si>
  <si>
    <t>Av. Santa Inês, 1357 - Santana, São Paulo - SP, 02415-001</t>
  </si>
  <si>
    <t>Hospital Vet Popular Tucuruvi</t>
  </si>
  <si>
    <t>Av. Guapira, 669 - sala 07 - Tucuruvi, São Paulo - SP, 02265-001</t>
  </si>
  <si>
    <t>Pet Care Hospital Veterinário - Unidade Tatuapé</t>
  </si>
  <si>
    <t>DN R$276,00 / NT R$383,00</t>
  </si>
  <si>
    <t>R. Serra de Japi, 965 - Tatuapé, São Paulo - SP, 03309-000</t>
  </si>
  <si>
    <t>Zoovet 24 horas</t>
  </si>
  <si>
    <t>DN R$190,00 / NT R$240,00</t>
  </si>
  <si>
    <t>R. Marselhesa, 333 - Vila Mariana, São Paulo - SP, 04020-060</t>
  </si>
  <si>
    <t>SaveVet - Centro Veterinário 24h - ZONA NORTE - JD SÃO PAULO</t>
  </si>
  <si>
    <t xml:space="preserve">SP </t>
  </si>
  <si>
    <t>DN R$140,00 / NT R$220,00</t>
  </si>
  <si>
    <t>Av. Leôncio de Magalhães, 1005 - Jardim São Paulo, São Paulo - SP, 02042-011</t>
  </si>
  <si>
    <t>Clinica Veterinária UBAVET 24 horas</t>
  </si>
  <si>
    <t>DN R$190,00 / NT R$270,00</t>
  </si>
  <si>
    <t>R. Dr. Esteves da Silva, 490 - Centro, Ubatuba - SP, 11690-087</t>
  </si>
  <si>
    <t>Clínica Veterinária Melhores Amigos</t>
  </si>
  <si>
    <t>Av. Guarda Mor Lobo Viana, 1503 - Praia do Porto Grande, São Sebastião - SP, 11660-000</t>
  </si>
  <si>
    <t>Clinica Veterinária São Sebastião</t>
  </si>
  <si>
    <t>hospital veterinário - Av. Conceição, 1535 - Vila Maria, São Paulo - SP, 02072-002</t>
  </si>
  <si>
    <t>Animale - Cliníca Veterinária</t>
  </si>
  <si>
    <t>DN R$135,00 / NT R$250,00</t>
  </si>
  <si>
    <t>R. São Pedro, 199 - Centro, Brotas - SP, 17380-000</t>
  </si>
  <si>
    <t>Hospital Veterinário Florianópolis</t>
  </si>
  <si>
    <t>R. João Cruz e Silva, 91 - Estreito, Florianópolis - SC, 88070-260</t>
  </si>
  <si>
    <t>Clinica Veterinária Zooflora - Pronto atendimento e Emergência Veterinária 24 Horas</t>
  </si>
  <si>
    <t>DN R$150,00 / NT R$210,00</t>
  </si>
  <si>
    <t>Servidão Elpídio da Rocha, 86 - Rio Tavares, Florianópolis - SC, 88048-398</t>
  </si>
  <si>
    <t>Agropet Rancho dos Bichos | Ingleses Florianópolis - SC</t>
  </si>
  <si>
    <t>Servidão Três Marias, 650 - Sala 1 - Ingleses Norte, Florianópolis - SC, 88058-071</t>
  </si>
  <si>
    <t>Vetval Clínica Veterinária na Trindade</t>
  </si>
  <si>
    <t>DN R$200,00 / NT R$350,00</t>
  </si>
  <si>
    <t>R. Trajano Margarida, 243 - Trindade, Florianópolis - SC, 88036-050</t>
  </si>
  <si>
    <t>Hospital Veterinário de Natal</t>
  </si>
  <si>
    <t>DN R$140,0 / NT R$190,00</t>
  </si>
  <si>
    <t>Av. Xavier da Silveira, 876 - Morro Branco, Natal - RN, 59056-700</t>
  </si>
  <si>
    <t>Clínica Pet Patas 24Horas</t>
  </si>
  <si>
    <t>DN R$ 100,00 / NT R$ 135,00</t>
  </si>
  <si>
    <t>Av. Sr. do Bonfim, 2761 - Potengi, Natal - RN, 59120-000</t>
  </si>
  <si>
    <t xml:space="preserve">Mascote's Veterinário 24hs </t>
  </si>
  <si>
    <t>DN R$ 100,00  / NT R$ 120,00</t>
  </si>
  <si>
    <t>Av. Dr. João Medeiros Filho, 3849 - Pajuçara, Natal - RN, 59120-200</t>
  </si>
  <si>
    <t>HarmonyVet - Atendimento Veterinário 24h</t>
  </si>
  <si>
    <t>DN R$ 155,00 / NT R$ 210,00.</t>
  </si>
  <si>
    <t>Rua Américo Soares Wanderley, 1945 - Capim Macio, Natal - RN, 59082-060</t>
  </si>
  <si>
    <t xml:space="preserve">Natal Clinic </t>
  </si>
  <si>
    <t>DN R$ 130,00 / NT R$170,00</t>
  </si>
  <si>
    <t>Av. dos Ipês, 14 - Neópolis, Natal - RN, 59080-105</t>
  </si>
  <si>
    <t>HOSPITAL AMIGO BICHO</t>
  </si>
  <si>
    <t>DN R$140,00 / NT R$190,00</t>
  </si>
  <si>
    <t>Av. Xavier da Silveira, 1620 - Lagoa Nova, Natal - RN, 59056-700</t>
  </si>
  <si>
    <t>Clínica Veterinária Saúde Animal - 24 horas</t>
  </si>
  <si>
    <t>DN R$ 150,00 / NT R$ 220,0</t>
  </si>
  <si>
    <t>Av. Borges de Medeiros, 4810 - Centro, Gramado - RS, 95671-755</t>
  </si>
  <si>
    <t>Clínica Veterinária Mania de Bicho</t>
  </si>
  <si>
    <t>DN R$ 150,00 / NT R$ 250,00</t>
  </si>
  <si>
    <t>R. Manoel Crescêncio Santiago, 435 - Centro, Porto Seguro - BA, 45816-000</t>
  </si>
  <si>
    <t>Diagnovet 24h- Clínica e Exames</t>
  </si>
  <si>
    <t>Av, R. Eng. Mario de Gusmão, N° 1260 - Ponta Verde, Maceió - AL, 57035-000</t>
  </si>
  <si>
    <t>Hospital Veterinário Bem Estar 24h</t>
  </si>
  <si>
    <t>DN R$99,00 / NT R$148,00</t>
  </si>
  <si>
    <t>Av. Menino Marcelo, 2000 - Serraria, Maceió - AL, 57046-000</t>
  </si>
  <si>
    <t>Integravet-Centro Médico Veterinário</t>
  </si>
  <si>
    <t>APENAS QRCODE NA MÁQUINA</t>
  </si>
  <si>
    <t>Rua Doutor - Av. Dr. Júlio Marques Luz, 1146 - Jatiúca, Maceió - AL, 57035-700</t>
  </si>
  <si>
    <t>Hospital Veterinario São Lázaro 24h</t>
  </si>
  <si>
    <t>Av. Alanis Maria Laurindo de Oliveira, 157 - Conj. Ceará I, Fortaleza - CE, 60533-602</t>
  </si>
  <si>
    <t>Clínica Veterinária Popular Ser Animal 24 Horas</t>
  </si>
  <si>
    <t>DN R$80,00 / NT R$100,00</t>
  </si>
  <si>
    <t>Av. Bezerra de Menezes, 849 - Parquelândia, Fortaleza - CE, 60325-003</t>
  </si>
  <si>
    <t>Hospital Veterinário Vetworld 24horas</t>
  </si>
  <si>
    <t>DN R$120,00 / NT R$170,00</t>
  </si>
  <si>
    <t>Av. Rui Barbosa, 550 - Meireles, Fortaleza - CE, 60115-220</t>
  </si>
  <si>
    <t>Hospital Veterinário Vet Intensivo - 24 Horas</t>
  </si>
  <si>
    <t>DN R$125,00 / NT R$150,00</t>
  </si>
  <si>
    <t>Av. Heráclito Graça, 1515 - Aldeota, Fortaleza - CE, 60140-035</t>
  </si>
  <si>
    <t>Animed - Clínica Veterinária e Pet shop</t>
  </si>
  <si>
    <t>CRATO</t>
  </si>
  <si>
    <t>DN R$60,00 / NT R$120,00</t>
  </si>
  <si>
    <t>Rua Cel. Antônio Luíz, 1339 - Pimenta, Crato - CE, 63105-000</t>
  </si>
  <si>
    <t>Animed Veterinária</t>
  </si>
  <si>
    <t>DN R$140,00 / NT R$250,00</t>
  </si>
  <si>
    <t>Rua Margarida Queiroz, 590 - Cidade dos Funcionários, Fortaleza - CE, 60822-530</t>
  </si>
  <si>
    <t>Petiatra - Veterinária 24h</t>
  </si>
  <si>
    <t>DN R$115,00 / NT R$150,00</t>
  </si>
  <si>
    <t>Av. Godofredo Maciel, 920 - Maraponga, Fortaleza - CE, 60710-000</t>
  </si>
  <si>
    <t>Hospital Veterinário Univet</t>
  </si>
  <si>
    <t>DN R$180,00 / NT R$200,00</t>
  </si>
  <si>
    <t>Av. Washington Soares, 655 - Edson Queiroz, Fortaleza - CE, 60810-000</t>
  </si>
  <si>
    <t>ProntoVet - clinica veterinaria</t>
  </si>
  <si>
    <t>CASCAVEL</t>
  </si>
  <si>
    <t>DN R$90,00 / NT R$130,00</t>
  </si>
  <si>
    <t>R. Prof. José Antônio de Queiroz, 2056 - centro, Cascavel - CE, 62850-000</t>
  </si>
  <si>
    <t>Sião Centro veterinário</t>
  </si>
  <si>
    <t>DN R$90,00 / NT R$125,00</t>
  </si>
  <si>
    <t>R. Padre Pedro de Alencar, 1141 - Messejana, Fortaleza - CE, 60840-282</t>
  </si>
  <si>
    <t>Hospital Veterinário 4 Patas - 24 horas</t>
  </si>
  <si>
    <t>R. Maria Ramos, 777 - Bairro Novo, Olinda - PE, 53030-050</t>
  </si>
  <si>
    <t>Praia dos Bichos Veterinária</t>
  </si>
  <si>
    <t>DN R$190,00 / NT R$230,00</t>
  </si>
  <si>
    <t>Av. Lúcio Costa, 3400 - Barra da Tijuca, Rio de Janeiro - RJ, 22630-010</t>
  </si>
  <si>
    <t>Clínica Veterinária Dog's Vet | Barra da Tijuca | Atendimento 24 Horas</t>
  </si>
  <si>
    <t>DN R$240,00 / NT R$260,00</t>
  </si>
  <si>
    <t>Av. das Américas, 7707 - Loja 136 - Barra da Tijuca, Rio de Janeiro - RJ, 22793-081</t>
  </si>
  <si>
    <t>Vet Leblon Clínica Veterinária 24h e Pet Shop</t>
  </si>
  <si>
    <t>DN R$250,00 / NT 320,00</t>
  </si>
  <si>
    <t>Av. Bartolomeu Mitre, 630 - loja a - Leblon, Rio de Janeiro - RJ, 22431-002</t>
  </si>
  <si>
    <t>Cigavet</t>
  </si>
  <si>
    <t>DN R$165,00 / NT R$220,00</t>
  </si>
  <si>
    <t>R. Bento Lisboa, 49 - Catete, Rio de Janeiro - RJ, 22221-011</t>
  </si>
  <si>
    <t>SOS Animal</t>
  </si>
  <si>
    <t>DN R$170,00 / NT R$270,00</t>
  </si>
  <si>
    <t>R. Mario Barreto, 6 - Tijuca, Rio de Janeiro - RJ, 20510-390</t>
  </si>
  <si>
    <t>HV CLÍNICA VETERINÁRIA - UNIDADE BOTAFOGO</t>
  </si>
  <si>
    <t>DN R$53,90 / NT R$70,00</t>
  </si>
  <si>
    <t>R. Real Grandeza, 313 - Botafogo, Rio de Janeiro - RJ, 22281-035</t>
  </si>
  <si>
    <t>Hovet - Hospital Veterinário Zona Sul</t>
  </si>
  <si>
    <t>DN R$210,00 / NT R$260,00</t>
  </si>
  <si>
    <t>R. Visc. de Caravelas, 2 - Botafogo, Rio de Janeiro - RJ, 22271-022</t>
  </si>
  <si>
    <t>Grandvet Veterinária - Atendimento 24h</t>
  </si>
  <si>
    <t>R. Amaral, 54 - Tijuca, Rio de Janeiro - RJ, 20510-080</t>
  </si>
  <si>
    <t>Cetra Vet Freguesia - Clínica Veterinária 24h</t>
  </si>
  <si>
    <t>DN R$140,00 / NT R$200,00</t>
  </si>
  <si>
    <t>Av. Geremário Dantas, 1407 - Freguesia (Jacarepaguá), Rio de Janeiro - RJ, 22760-400</t>
  </si>
  <si>
    <t>HV CLÍNICA VETERINÁRIA - UNIDADE FREGUESIA</t>
  </si>
  <si>
    <t>Estr. do Gabinal, 1031 - Freguesia (Jacarepaguá), Rio de Janeiro - RJ, 22763-153</t>
  </si>
  <si>
    <t>Veterinária e Petshop Xanadu</t>
  </si>
  <si>
    <t>DN R$1480,00 / NT R$198,00</t>
  </si>
  <si>
    <t>Ladeira da Freguesia, 70 - Freguesia (Jacarepaguá), Rio de Janeiro - RJ, 22760-090</t>
  </si>
  <si>
    <t>Zoo Mania Clínica Veterinária</t>
  </si>
  <si>
    <t>Estr. do Bananal, 495 - Freguesia (Jacarepaguá), Rio de Janeiro - RJ, 22750-013</t>
  </si>
  <si>
    <t>Centro Veterinário Lagoa</t>
  </si>
  <si>
    <t>DN R$220,00 / NT R$275,00</t>
  </si>
  <si>
    <t>R. Frei Solano, 30 - Lagoa, Rio de Janeiro - RJ, 22471-250</t>
  </si>
  <si>
    <t>All Vet Jockey | Centro Veterinário | Lagoa</t>
  </si>
  <si>
    <t>Ref.: Vila Hípica (dentro do Jockey Club Brasileiro - com estacionamento - R. Gen. Garzon, 30 - Lagoa, Rio de Janeiro - RJ, 22470-010</t>
  </si>
  <si>
    <t>Clinica Veterinária Apaixonados Por Quatro Patas - Unidade São Conrado/Rocinha</t>
  </si>
  <si>
    <t>DN R$62,90 / NT R$81,00</t>
  </si>
  <si>
    <t>Estr. da Gávea, 698 - São Conrado, Rio de Janeiro - RJ, 22610-002</t>
  </si>
  <si>
    <t>Petsaúde Copacabana</t>
  </si>
  <si>
    <t>DN R$195,00 / NT R$268,00</t>
  </si>
  <si>
    <t>R. Francisco Sá, 88 - Copacabana, Rio de Janeiro - RJ, 22080-010</t>
  </si>
  <si>
    <t>Dom Veterinário</t>
  </si>
  <si>
    <t>DN R$240,00 / NT R$320,00</t>
  </si>
  <si>
    <t>QRCODE FIXO</t>
  </si>
  <si>
    <t>Rua Humaitá, 72 - Humaitá, Rio de Janeiro - RJ, 22261-001</t>
  </si>
  <si>
    <t>Núcleo Ipanema | Emergência Veterinária 24 Horas</t>
  </si>
  <si>
    <t>R. Vinícius de Moraes, 63 - Ipanema, Rio de Janeiro - RJ, 22411-010</t>
  </si>
  <si>
    <t>Hospital Veterinário VITA 24h</t>
  </si>
  <si>
    <t xml:space="preserve">RECIFE </t>
  </si>
  <si>
    <t>R$ 99,00</t>
  </si>
  <si>
    <t>R. Cláudio Brotherhood, 85 - Cordeiro, Recife - PE, 50721-260</t>
  </si>
  <si>
    <t xml:space="preserve">Veterinária PetMedic
</t>
  </si>
  <si>
    <t>DN R$ 100,00 / NT R$ 180,00</t>
  </si>
  <si>
    <t xml:space="preserve">CPF </t>
  </si>
  <si>
    <t>Av. Doze de Novembro, 13 - Porto Belo, Búzios - RJ, 28954-220</t>
  </si>
  <si>
    <t>Mr Zoo - Centro Médico Veterinário 24h</t>
  </si>
  <si>
    <t>DN R$ 190,00 /  NT R$ 250,00</t>
  </si>
  <si>
    <t>R. Ver. João Calazans, 579 - 13 de Julho, Aracaju - SE, 49020-030</t>
  </si>
  <si>
    <t xml:space="preserve">Clínica Veterinária São Lázaro
</t>
  </si>
  <si>
    <t>A PARTIR DE R$140,00</t>
  </si>
  <si>
    <t>Av. José Carlos Silva, 1132 - Farolândia, Aracaju - SE, 49030-640</t>
  </si>
  <si>
    <t>Centro Veterinário 4 Patas</t>
  </si>
  <si>
    <t xml:space="preserve">8h as 20h (segunda a sábado) -  R$ 150,00
20h as 8h, domingos e feriados - R$ 200,00
</t>
  </si>
  <si>
    <t>Av. Procópio Rola, 655 - Central, Macapá - AP, 68901-076</t>
  </si>
  <si>
    <t>VETNORTE 24H</t>
  </si>
  <si>
    <t>Consulta genérica das 8h ás 18h: 110,00
Consulta ortopédica: 180,00
Consulta de emergência:180,00</t>
  </si>
  <si>
    <t>Rua Vereador Júlio Maria Pinto Pereira, 770 - Jardim Felicidade, Macapá - AP, 68909-000</t>
  </si>
  <si>
    <t>Bicho Rei Hospital Veterinário e Clínica Veterinária 24 horas</t>
  </si>
  <si>
    <t>DN R$110,00 / NT R$160,00</t>
  </si>
  <si>
    <t>R. Halfeld, 1406 - Paineiras, Juiz de Fora - MG, 36016-015</t>
  </si>
  <si>
    <t>Hospital Veterinário Estrada Real</t>
  </si>
  <si>
    <t>DN R$145,00 / NT R$240,00</t>
  </si>
  <si>
    <t>R. Alencar Tristão, 287 - Santa Terezinha, Juiz de Fora - MG, 36046-010</t>
  </si>
  <si>
    <t>San Rafael Hospital Veterinário</t>
  </si>
  <si>
    <t>R. Dr. Pedro Mendes, 20 - Bom Pastor, Juiz de Fora - MG, 36021-050</t>
  </si>
  <si>
    <t>Prontovet</t>
  </si>
  <si>
    <t>DN R$130,00 / NT R$187,00</t>
  </si>
  <si>
    <t>R. Dr. Antônio Carlos, 394 - Centro, Juiz de Fora - MG, 36010-560</t>
  </si>
  <si>
    <t>Centro Veterinário Animundi - 24h</t>
  </si>
  <si>
    <t>DN R$145,00 / NT R$185,00</t>
  </si>
  <si>
    <t>Av. Olegário Maciel, 2075 - Paineiras, Juiz de Fora - MG, 36016-011</t>
  </si>
  <si>
    <t>Clínica Veterinária RIMNOW</t>
  </si>
  <si>
    <t>Av. Sete de Setembro, 891 - Costa Carvalho, Juiz de Fora - MG, 36070-000</t>
  </si>
  <si>
    <t>Clínica Veterinária São Lucas</t>
  </si>
  <si>
    <t>DN R$90,00 / NT R$140,00 / MD R$200,00</t>
  </si>
  <si>
    <t>R. Diogo Álvares, 274 - Benfica, Juiz de Fora - MG, 36090-320</t>
  </si>
  <si>
    <t>Clinica e Hospital Veterinário VET4PET 24hrs</t>
  </si>
  <si>
    <t>Av. Dr. José Procópio Teixeira, 4 - Bom Pastor, Juiz de Fora - MG, 36021-540</t>
  </si>
  <si>
    <t>Clínica Veterinária Multiespécie 24 horas</t>
  </si>
  <si>
    <t>Rua José Lourenço Kelmer, 1110 - São Pedro, Juiz de Fora - MG, 36036-330</t>
  </si>
  <si>
    <t>Centro Veterinário Columella</t>
  </si>
  <si>
    <t>DN R$120,00 / NT R$170,00 /MD R$255,00</t>
  </si>
  <si>
    <t>Av. Sr. dos Passos, 1388 - São Pedro, Juiz de Fora - MG, 36037-490</t>
  </si>
  <si>
    <t>Clínica Veterinária Maxiclin</t>
  </si>
  <si>
    <t>DN R$130,00 / NT R$200,00</t>
  </si>
  <si>
    <t>R. dos Inconfidentes, 31 - Manoel Honório, Juiz de Fora - MG, 36045-070</t>
  </si>
  <si>
    <t>Centro Médico Veterinário Bom Samaritano</t>
  </si>
  <si>
    <t>R. Américo Lôbo, 1177 - Manoel Honório, Juiz de Fora - MG, 36045-050</t>
  </si>
  <si>
    <t>Centro Médico Animal</t>
  </si>
  <si>
    <t>R$100,00 / NT R$130,00</t>
  </si>
  <si>
    <t>R. Eng. José Carlos de Morais Sarmento, 279 - Santa Catarina, Juiz de Fora - MG, 36036-100</t>
  </si>
  <si>
    <t>Av. São João, 1759 - Centro, Caxias do Sul - RS, 95020-340</t>
  </si>
  <si>
    <t>Salute Clínica e Oncologia Veterinária</t>
  </si>
  <si>
    <t>DN R$135,00 / NT R$175,00</t>
  </si>
  <si>
    <t>R. Moreira César, 1903 - Pio X, Caxias do Sul - RS, 95034-000</t>
  </si>
  <si>
    <t>Dogs Life Vet e Shop</t>
  </si>
  <si>
    <t>Rua Dr. Montaury, 578 - Centro, Caxias do Sul - RS, 95020-190</t>
  </si>
  <si>
    <t>Pets &amp; Vets Clínica Veterinária</t>
  </si>
  <si>
    <t>DN R$100,00 / NT R$185,00 / MD R$250,00</t>
  </si>
  <si>
    <t>R. Vinte de Setembro, 996 - Nossa Sra. de Lourdes, Caxias do Sul - RS, 95020-450</t>
  </si>
  <si>
    <t>AMOR DE PATAS - CLÍNICA VETERINÁRIA</t>
  </si>
  <si>
    <t>R. da Limeira, 03 - Parque Mambucaba, Angra dos Reis - RJ, 23953-390</t>
  </si>
  <si>
    <t>ANIMED - Clinica Veterinária | Balneário</t>
  </si>
  <si>
    <t>DN R$100,00 / EMERGÊNCIA R$250,00</t>
  </si>
  <si>
    <t>Alameda Coronel Otávio Brasil, 555 - Balneário, Angra dos Reis - RJ, 23906-200</t>
  </si>
  <si>
    <t>PetClin - Petshop e Clínica Veterinária 24 horas</t>
  </si>
  <si>
    <t>Avenida Nações Unidas, 2399 7º BEC, Rio Branco - AC, 69918-093</t>
  </si>
  <si>
    <t>CliniVet</t>
  </si>
  <si>
    <t>Estr. Dias Martins, 259 - Jardim de Alah, Rio Branco - AC, 69915-526</t>
  </si>
  <si>
    <t>Clinica veterinária 24h - Dogvet</t>
  </si>
  <si>
    <t>R. Mal. Deodoro, 1010 - Aviário, Rio Branco - AC, 69909-341</t>
  </si>
  <si>
    <t>Criar - Hospital Veterinário 24h</t>
  </si>
  <si>
    <t>Av. Dom Severino, 3060 - São Cristóvão, Teresina - PI, 64051-160</t>
  </si>
  <si>
    <t>Clínica veterinária popular CVP</t>
  </si>
  <si>
    <t>PARNAÍBA</t>
  </si>
  <si>
    <t>DN R$75,00 / NT R$160,00</t>
  </si>
  <si>
    <t>R. Argentina, 19 - casa 02 Quadra - Ceará, Parnaíba - PI, 64212-200</t>
  </si>
  <si>
    <t>Cuidar - Centro Veterinário</t>
  </si>
  <si>
    <t>DN R$130,00 / NT R$260,00</t>
  </si>
  <si>
    <t>Av. Álvaro Mendes, 1234 - Centro, Parnaíba - PI, 64200-275</t>
  </si>
  <si>
    <t>HVT Hospital Veterinário de Teresina</t>
  </si>
  <si>
    <t>DN R$80,00 / NT R$130,00</t>
  </si>
  <si>
    <t>Av. Mal. Juarez Távora, Quadra 57 - Casa 08 - Parque Piaui, Teresina - PI, 64025-196</t>
  </si>
  <si>
    <t>TOTAL CARE CENTRO VETERINÁRIO 24 HORAS</t>
  </si>
  <si>
    <t>Av: Major Williams, 534 - São Pedro, Boa Vista - RR, 69306-965</t>
  </si>
  <si>
    <t>Clínica Veterinária PetGold 24h</t>
  </si>
  <si>
    <t>Av. Venezuela, 2152 - Mecejana, Boa Vista - RR, 69304-600</t>
  </si>
  <si>
    <t>HPet Hospital Veterinário 24h</t>
  </si>
  <si>
    <t>Av. Santos Dumont, 2227 - São Francisco, Boa Vista - RR, 69305-340</t>
  </si>
  <si>
    <t>Animalclin Clinica Veterinária</t>
  </si>
  <si>
    <t>R. Herbert de Azevedo, 2521 - São Cristóvão, Porto Velho - RO, 76803-896</t>
  </si>
  <si>
    <t>Rua Equador, 2211 - Nova Porto Velho, Porto Velho - RO, 76820-154</t>
  </si>
  <si>
    <t>CLINIDOG - Clínica Veterinária 24 Horas</t>
  </si>
  <si>
    <t>DN R$65,00 / NT R$100,00</t>
  </si>
  <si>
    <t>Av. dos Imigrantes, 2581 - Sala E - Costa e Silva, Porto Velho - RO, 76803-659</t>
  </si>
  <si>
    <t>Thiago Giordani Clinica Veterinária e Pet Shop</t>
  </si>
  <si>
    <t>CACOAL</t>
  </si>
  <si>
    <t>DN R$100,00 / NT R$200,00 / MD R$350,00</t>
  </si>
  <si>
    <t>Av. Amazonas, 2117 centro - Centro, Cacoal - RO, 76963-749</t>
  </si>
  <si>
    <t>Agrovet -/clínica veterinária</t>
  </si>
  <si>
    <t>PARANÁ</t>
  </si>
  <si>
    <t>DN R$80,00 / NT R$120,00</t>
  </si>
  <si>
    <t>Rua missionária Gunnar, 1904 - Nova Brasília, Ji-Paraná - RO, 76908-374</t>
  </si>
  <si>
    <t>Hospital Veterinário Pequenos Amigos</t>
  </si>
  <si>
    <t>R. Idelfonso da Silva, T 3 - Nova Brasília, Ji-Paraná - RO, 76908-326</t>
  </si>
  <si>
    <t>Vetco Clínica Veterinária</t>
  </si>
  <si>
    <t>R. João dos Santos Filho, 123 - 2 de Abril, Ji-Paraná - RO, 76900-825</t>
  </si>
  <si>
    <t>Hospital Veterinário Sta Cany</t>
  </si>
  <si>
    <t>DN R$140,00 / EMERGÊNCIA R$250,00</t>
  </si>
  <si>
    <t>Quadra 606 Sul Avenida LO 13, 01 - Plano Diretor Sul, Palmas - TO, 77022-054</t>
  </si>
  <si>
    <t>Hospital Veterinário CEULP/ULBRA</t>
  </si>
  <si>
    <t>DN R$130,00 / EMRGÊNCIA 200,00</t>
  </si>
  <si>
    <t>Q. 1501 Sul, Av. Joaquim Teotônio Segurado, s/n - Plano Diretor Sul, Palmas - TO, 77019-900</t>
  </si>
  <si>
    <t>CAVET 24h - Centro de Atendimento Veterinário</t>
  </si>
  <si>
    <t>ACSU - SE 60, Av Teotônio segurado, Sala, 2 - Conjunto 1, Lote 3 - Plano Diretor Sul, Palmas - TO, 77022-002</t>
  </si>
  <si>
    <t>Clínica Veterinária Cuiabá</t>
  </si>
  <si>
    <t>MT</t>
  </si>
  <si>
    <t>CUIABÁ</t>
  </si>
  <si>
    <t>R. Maria Dimpina Lobo Duarte, 192 - Boa Esperança, Cuiabá - MT, 78068-360</t>
  </si>
  <si>
    <t>Clinica Veterinária Bellus 24 horas</t>
  </si>
  <si>
    <t>Av. Uirapuru, QD 6, 7 - Recanto dos Pássaros, Cuiabá - MT, 78075-355</t>
  </si>
  <si>
    <t>André Rezende Clínica Veterinária 24h em Cuiabá | Internação - Castração - Vacinas - Cirurgia Geral - Consultas - Exames</t>
  </si>
  <si>
    <t>DN R$160,00 / NT R$215,00 / MD R$300,00</t>
  </si>
  <si>
    <t>Av. Haiti, 740 - Jardim das Américas, Cuiabá - MT, 78060-618</t>
  </si>
  <si>
    <t>Clínica Veterinária e Pet Shop Tijucal 24 horas</t>
  </si>
  <si>
    <t>Av. Espigão, qd 32 - casa 20 - Tijucal, Cuiabá - MT, 78088-037</t>
  </si>
  <si>
    <t>Clínica Veterinária Mato Grosso</t>
  </si>
  <si>
    <t>DN R$110,00 / NT R$190,00</t>
  </si>
  <si>
    <t>Veterinário 24hrs Cuiabá Clínica Veterinária 24 horas Vacinação , Veterinários em - Clínicas veterinárias em Cuiabá, R. Prof. João Félix, 396 - Lixeira, Cuiabá - MT, 78008-435</t>
  </si>
  <si>
    <t>Clínica Veterinária São Francisco</t>
  </si>
  <si>
    <t>DN R$227,00 / NT R$303,00</t>
  </si>
  <si>
    <t>Av. Ipiranga, 1744 - Cidade Alta, Cuiabá - MT, 78025-330</t>
  </si>
  <si>
    <t>PimPet - Clínica Veterinária</t>
  </si>
  <si>
    <t>Av. Roma, 20 - Jardim Itália, Cuiabá - MT, 78060-748</t>
  </si>
  <si>
    <t>Hospital Veterinário Boa Esperança</t>
  </si>
  <si>
    <t>DN R$190,00 /NT R$200,00</t>
  </si>
  <si>
    <t>R. Noêmia Evangelista Martins, 634 - Boa Esperança, Cuiabá - MT, 78068-385</t>
  </si>
  <si>
    <t>Clínica Veterinária Pet Market</t>
  </si>
  <si>
    <t>Rua Major Arnaldo de Matos, 100 - Centro Sul, Cuiabá - MT, 78020-005</t>
  </si>
  <si>
    <t>Patas e Cia - Clinica Veterinária e Pet Shop - Unidade CPA</t>
  </si>
  <si>
    <t>DN R$80,00 / NT R$180,00</t>
  </si>
  <si>
    <t>Avenida Tuiuiu, R. Dom Cpa IV, 09 - Quadra 22 Casa, Cuiabá - MT, 78058-000</t>
  </si>
  <si>
    <t>Hospital Veterinário Saúde Animal</t>
  </si>
  <si>
    <t>Entre Castelo e José Bonifácio, Av. Gentil Bitencourt, 2484 - São Brás, Belém - PA, 66063-090</t>
  </si>
  <si>
    <t>Clínica veterinária Bel e Bola 24H</t>
  </si>
  <si>
    <t>Rod. Augusto Montenegro, 3020 - A - Parque Verde, Belém - PA, 66635-110</t>
  </si>
  <si>
    <t>Cvet Clínica Veterinária</t>
  </si>
  <si>
    <t xml:space="preserve">DN R$90,00 / NT R$150,00 </t>
  </si>
  <si>
    <t>Av. Conselheiro Furtado, 2275 - Cremação, Belém - PA, 66040-100</t>
  </si>
  <si>
    <t>HC Centro Veterinário Dr. Paulo Maia</t>
  </si>
  <si>
    <t>DN R$170,00 / NT R$180,00</t>
  </si>
  <si>
    <t>Tv. Alm. Wandenkolk, 419 - Nazaré, Belém - PA, 66055-030</t>
  </si>
  <si>
    <t>Clínica Medica e Cirurgica Veterinário JW</t>
  </si>
  <si>
    <t>R. B, 17 - Coqueiro, Belém - PA, 67115-000</t>
  </si>
  <si>
    <t>Clinvetam</t>
  </si>
  <si>
    <t xml:space="preserve">PA </t>
  </si>
  <si>
    <t>DN R$160,00 / NT R$180,00</t>
  </si>
  <si>
    <t>Tv. Benjamin Constant, 801 - Reduto, Belém - PA, 66053-140</t>
  </si>
  <si>
    <t>Prontovet Especialidades Veterinárias</t>
  </si>
  <si>
    <t>R. Belo Horizonte, 321 - Adrianópolis, Manaus - AM, 69057-060</t>
  </si>
  <si>
    <t>Clinica Veterinária VetCenter 24h</t>
  </si>
  <si>
    <t>Av. Pres. Vargas, 2661 - Santa Rita, Macapá - AP, 68901-262</t>
  </si>
  <si>
    <t>Hospital Veterinário Cabo Frio</t>
  </si>
  <si>
    <t>DN R$130,00 / NT R$220,00</t>
  </si>
  <si>
    <t>R. Inglaterra, 43 - Jardim Caiçara, Cabo Frio - RJ, 28910-360</t>
  </si>
  <si>
    <t>Golden Vet Clínica Veterinária</t>
  </si>
  <si>
    <t>DN R$100,00 / NT R$160,00</t>
  </si>
  <si>
    <t>R. Florença, 29 - casa 1 - Jardim Excelcior, Cabo Frio - RJ, 28915-050</t>
  </si>
  <si>
    <t>ClinVet 24h - Hospital Veterinário</t>
  </si>
  <si>
    <t>DN R$190,00 / NT R$280,00</t>
  </si>
  <si>
    <t>R. Azevedo Sodré, 101 - Gonzaga, Santos - SP, 11055-051</t>
  </si>
  <si>
    <t>Pet Help Saúde Animal</t>
  </si>
  <si>
    <t>R. Pasteur, 120 - Gonzaga, Santos - SP, 11060-440</t>
  </si>
  <si>
    <t>Vitale Centro Médico Veterinário 24h</t>
  </si>
  <si>
    <t>DN R$160,00 / NT R$245,00</t>
  </si>
  <si>
    <t>gps - Av. dos Bancários, 06 - Ponta da Praia, Santos - SP, 11035-060</t>
  </si>
  <si>
    <t>Filetti Clínica Veterinária em Santos</t>
  </si>
  <si>
    <t>R. Alm. Tamandaré, 275 - Macuco, Santos - SP, 11015-250</t>
  </si>
  <si>
    <t>Pet Anjo Francisco Glicério: Veterinário, Banho e tosa, Vacinas em Santos</t>
  </si>
  <si>
    <t>Av. Gal. Francisco Glycério, 206 - Gonzaga, Santos - SP, 11065-400</t>
  </si>
  <si>
    <t>Hospital Vet Levet - O melhor de Curitiba</t>
  </si>
  <si>
    <t>DN R$210,00 / NT R$250,00 / MD R$300,00</t>
  </si>
  <si>
    <t>Rua Cândido Xavier, 731 - Água Verde, Curitiba - PR, 80240-280</t>
  </si>
  <si>
    <t>Hospital Veterinário Santa Mônica</t>
  </si>
  <si>
    <t>DN R$210,00 / NT R$310,00</t>
  </si>
  <si>
    <t>R. Brg. Franco, 4029 - Rebouças, Curitiba - PR, 80220-100</t>
  </si>
  <si>
    <t>Hospital Veterinário Central 24 Horas</t>
  </si>
  <si>
    <t>DN R$155,00 / NT R$190,00 / MD R$280,00</t>
  </si>
  <si>
    <t>R. Nilo Peçanha, 166 - São Francisco, Curitiba - PR, 80520-000</t>
  </si>
  <si>
    <t>Clínica Veterinária Animal Life</t>
  </si>
  <si>
    <t>Rua Desembargador Arthur Leme, 31 - Bacacheri, Curitiba - PR, 82510-220</t>
  </si>
  <si>
    <t>Hospital Veterinário Santa Quitéria</t>
  </si>
  <si>
    <t>DN R$213,00 / NT R$276,00 / MD R$321,00</t>
  </si>
  <si>
    <t>R. Bocaiúva, 918 - Santa Quiteria, Curitiba - PR, 80310-140</t>
  </si>
  <si>
    <t>Snow Vet - Clínica Veterinária 24 horas em Curitiba</t>
  </si>
  <si>
    <t>DN R$140,00 / NT R$190,00 / MD R$230,00</t>
  </si>
  <si>
    <t>Rua Luiz Parigot de Souza, 548 - loja 2 - Portão, Curitiba - PR, 81070-050</t>
  </si>
  <si>
    <t>Hospital Veterinário Derosso</t>
  </si>
  <si>
    <t>DN R$180,00 / NT R$235,00</t>
  </si>
  <si>
    <t>Rua Líbero Sant'Ana Nunes, 40 - Xaxim, Curitiba - PR, 81830-130</t>
  </si>
  <si>
    <t>Garra Hospital Veterinário</t>
  </si>
  <si>
    <t>DN R$185,00 / NT R$255,00 / MD R$285,00</t>
  </si>
  <si>
    <t>R. Padre Germano Mayer, 319 - Cristo Rei, Curitiba - PR, 80050-270</t>
  </si>
  <si>
    <t>Animal Clinic Bacacheri - Hospital Veterinário 24h</t>
  </si>
  <si>
    <t>DN R$200,00 / NT R$280,00</t>
  </si>
  <si>
    <t>Av. Pref. Erasto Gaertner, 2275 - Bacacheri, Curitiba - PR, 82515-000</t>
  </si>
  <si>
    <t>BIOS Centro Veterinário 24h - Dr. César Lunardi - Petclin</t>
  </si>
  <si>
    <t>Rua 24 de Maio, 1415 - Rebouças, Curitiba - PR, 80220-060</t>
  </si>
  <si>
    <t>Arca de Noé Clínica Veterinária</t>
  </si>
  <si>
    <t>DN R$200,00 / NT R$300,00</t>
  </si>
  <si>
    <t>R. Gen. Mário Tourinho, 1287 - Campina do Siqueira, Curitiba - PR, 80740-000</t>
  </si>
  <si>
    <t>Clínica Veterinária Vita 24 horas</t>
  </si>
  <si>
    <t>DN R$150,00/ NT R$240,00</t>
  </si>
  <si>
    <t>R. Sainť Hilaire, 778 - Água Verde, Curitiba - PR, 80240-140</t>
  </si>
  <si>
    <t>Vet Socorro Pinheirinho - Clínica Veterinária 24h</t>
  </si>
  <si>
    <t>DN R$95,00 / NT R$160,00</t>
  </si>
  <si>
    <t>Rua Cid Marcondes de Albuquerque, 2352 - Pinheirinho, Curitiba - PR, 81825-080</t>
  </si>
  <si>
    <t>Petite Gatô Clínica Veterinária 24 horas</t>
  </si>
  <si>
    <t>DN R$115,00 / EMERGÊNCIA R$160,00</t>
  </si>
  <si>
    <t>Av. Frederico Lambertucci, 266 - Fazendinha, Curitiba - PR, 81330-000</t>
  </si>
  <si>
    <t>DN R$150,00 / NT R$190,00</t>
  </si>
  <si>
    <t>VALOR  FIXO</t>
  </si>
  <si>
    <t>Centervet Graça</t>
  </si>
  <si>
    <t>DN R$120,00 / NT R$140,00 / MD R$160,00</t>
  </si>
  <si>
    <t>R. Eng. Alexandre Maia, 7 - Graça, Salvador - BA, 40150-190</t>
  </si>
  <si>
    <t>Animais-DF | Hospital Veterinário | Ceilândia - DF</t>
  </si>
  <si>
    <t>DN R$70,00 / NT R$150,00</t>
  </si>
  <si>
    <t>St. M QNM 1 Conjunto C Lote 02 loja 01 - Ceilândia Sul, Brasília - DF, 72215-013</t>
  </si>
  <si>
    <t>Centro Clínico Veterinário - Vet Care</t>
  </si>
  <si>
    <t>DN R$90,00 / NT R$100,00 / EMERGÊNCIA R$250,00</t>
  </si>
  <si>
    <t>St. M-Norte Q 1 - Taguatinga, Brasília - DF, 72145-105</t>
  </si>
  <si>
    <t>Hospital Veterinário Dr. Antônio Clemenceau</t>
  </si>
  <si>
    <t>Setor Sul - Brasília, DF, 78625-000</t>
  </si>
  <si>
    <t>Clínica Veterinária Jardim Botânico</t>
  </si>
  <si>
    <t>Portal Lago Sul Etapa 01 Rua 01 Lote 80 Lj. 2 - Jardim Botânico, Brasília - DF, 72680-363</t>
  </si>
  <si>
    <t>Hospital Veterinário de Taguatinga - 24 horas - Clínica Veterinária e Pet Shop</t>
  </si>
  <si>
    <t>DN R$130,00 / NT R$170,00</t>
  </si>
  <si>
    <t>QNA, Av. Comercial, 01 - LOTE 06 - Taguatinga, Brasília - DF, 72110-010</t>
  </si>
  <si>
    <t>Hospital Veterinário Arca de Noé</t>
  </si>
  <si>
    <t>DN R$220,00 / NT R$260,00</t>
  </si>
  <si>
    <t>St. de Habitações Individuais Sul QI 25 Bloco E Loja 70 Subsolo - Lago Sul, Brasília - DF, 71660-440</t>
  </si>
  <si>
    <t>Hospital Veterinário Brasília</t>
  </si>
  <si>
    <t>GERA CHAVE ALEATORIA</t>
  </si>
  <si>
    <t>Asa Sul CRS 504 BL C Loja 14 - Asa Sul, Brasília - DF, 70331-535</t>
  </si>
  <si>
    <t>Hvs Hospital Veterinário Sobradinho 24H</t>
  </si>
  <si>
    <t>SH Mansões Sobradinho Condomínio Sobradinho Novo QMS 34 loja 1 - Sobradinho, Brasília - DF, 73081-180</t>
  </si>
  <si>
    <t>Casa dos Pets Clínica veterinária</t>
  </si>
  <si>
    <t>Q. Eq 9/10 Lti/J, Lj 1 a 3- St. Hab - Jardim Bota, Brasília - DF, 71681-540</t>
  </si>
  <si>
    <t>Clínica Veterinária Noroeste 24h</t>
  </si>
  <si>
    <t>DN R$190,00 / NT R$260,00</t>
  </si>
  <si>
    <t>CLNW 10/11, Lojas 4 e 5 - Noroeste, Brasília - DF, 70686-625</t>
  </si>
  <si>
    <t>Petclive clínica veterinária 24 hs</t>
  </si>
  <si>
    <t>Av. Maria Lacerda Montenegro, 2084 - Nova Parnamirim, Parnamirim - RN, 59152-600</t>
  </si>
  <si>
    <t>Canis &amp; Catus</t>
  </si>
  <si>
    <t>R. Des. Adauto Maia, 1075 - Lagoa Nova, Natal - RN, 59054-480</t>
  </si>
  <si>
    <t>Hospital Veterinário Popular de Mossoró</t>
  </si>
  <si>
    <t>MOSSORÓ</t>
  </si>
  <si>
    <t>Av. Mota Neto, 410 - Nova Betânia, Mossoró - RN, 59612-000</t>
  </si>
  <si>
    <t>Hospital Veterinário Tico e Teco</t>
  </si>
  <si>
    <t>Av. Nascimento de Castro, 1965 - Lagoa Nova, Natal - RN, 59056-450</t>
  </si>
  <si>
    <t>Hospital Veterinário Quatro Patas Popular de Mossoró</t>
  </si>
  <si>
    <t>DN R$40,00 / NT R$90,00</t>
  </si>
  <si>
    <t>Av. João da Escóssia, 1296 - Nova Betânia, Mossoró - RN, 59607-330</t>
  </si>
  <si>
    <t>SomosVet 24hrs</t>
  </si>
  <si>
    <t>R. Cordélia Veloso Frade, 6 - Jardim Cidade Universitária, João Pessoa - PB, 58052-430</t>
  </si>
  <si>
    <t>CMV - Centro Médico Veterinário</t>
  </si>
  <si>
    <t>R. João Domingos, 257 - Miramar, João Pessoa - PB, 58043-010</t>
  </si>
  <si>
    <t>Centro Médico Veterinário de Campina Grande</t>
  </si>
  <si>
    <t xml:space="preserve"> R$120,00 </t>
  </si>
  <si>
    <t>R. Cel. José André, 112 - Centro, Campina Grande - PB, 58400-068</t>
  </si>
  <si>
    <t>Hospital Veterinário Santa Clara</t>
  </si>
  <si>
    <t>DN R$160,00 / NT R$180,00 / MD R$200,00</t>
  </si>
  <si>
    <t>Av. C-231, 717 - Jardim América, Goiânia - GO, 74290-030</t>
  </si>
  <si>
    <t>Planeta Pets Goiânia Clinica Veterinaria 24hs, Cirurgia, Internação, Castração, Ortopedista Veterinária, Exames para Animais</t>
  </si>
  <si>
    <t>Av. Solar, 384 - St. Urias Magalhães, Goiânia - GO, 74565-630</t>
  </si>
  <si>
    <t>Av. da Serrinha, 252 - Serrinha, Goiânia - GO, 74835-100</t>
  </si>
  <si>
    <t>Dog Center Clinica Veterinária e Pet Shop</t>
  </si>
  <si>
    <t>Av. Assis Chateaubriand, 1460 - St. Oeste, Goiânia - GO, 74140-050</t>
  </si>
  <si>
    <t>Dog Center</t>
  </si>
  <si>
    <t>Av. Paranaíba, 256 - Centro, Goiânia - GO, 74020-010</t>
  </si>
  <si>
    <t>Clínica Veterinária Estação dos Bichos</t>
  </si>
  <si>
    <t>Av. Mal. Rondon, 8 - Setor Norte Ferroviário, Goiânia - GO, 74560-540</t>
  </si>
  <si>
    <t>AnimaLes 24H Clínica Veterinária</t>
  </si>
  <si>
    <t>R. Major Nodger Ulisses de Oliveira, N• 667 - Itapuã, Vila Velha - ES, 29101-770</t>
  </si>
  <si>
    <t>Quality Especialidades Veterinárias - Plantão 24h</t>
  </si>
  <si>
    <t>DN R$140,00 / NT R$240,00</t>
  </si>
  <si>
    <t>R. José Guilherme Neffa, 140 - Jardim Camburi, Vitória - ES, 29092-070</t>
  </si>
  <si>
    <t>Bixus Clínica Veterinária - Planos de Saúde Pet</t>
  </si>
  <si>
    <t>DN R$140,00 / NT R$280,00</t>
  </si>
  <si>
    <t>Av. Rosendo Serapião de Souza Filho, 09 - Republica, Vitória - ES, 29070-060</t>
  </si>
  <si>
    <t>Climev Clínica Veterinária</t>
  </si>
  <si>
    <t>R. Carlos Martins, 912 - Jardim Camburi, Vitória - ES, 29090-060</t>
  </si>
  <si>
    <t>Clínica Veterinária Itacibá</t>
  </si>
  <si>
    <t>CARIACICA</t>
  </si>
  <si>
    <t>R. Santo Antônio, 2-148 - Itacibá, Cariacica - ES, 29150-290</t>
  </si>
  <si>
    <t>Centro Veterinário Capixaba - CEVECAP</t>
  </si>
  <si>
    <t>SERRA</t>
  </si>
  <si>
    <t>R. Viriato Corrêa, 96 - Parque Res. Laranjeiras, Serra - ES, 29165-130</t>
  </si>
  <si>
    <t>CEV - Centro Veterinário 24h Linhares</t>
  </si>
  <si>
    <t>LINHARES</t>
  </si>
  <si>
    <t>DN R$110,00 / NT R$220,00</t>
  </si>
  <si>
    <t>Av. Vitória, 1293 - Centro, Linhares - ES, 29900-085</t>
  </si>
  <si>
    <t>Hospital Veterinário Dr. Vicente Borelli</t>
  </si>
  <si>
    <t>DN R$120,00 / NT R$175,00</t>
  </si>
  <si>
    <t>ATÉ ÀS 17H - CNPJ</t>
  </si>
  <si>
    <t>Av. Pres. Tancredo Neves, 5655 - Jabotiana, Aracaju - SE</t>
  </si>
  <si>
    <t>Clinica Veterinária Realeza</t>
  </si>
  <si>
    <t>LAGARTO</t>
  </si>
  <si>
    <t>Tv. Anchieta, 218 - Centro, Lagarto - SE, 49400-000</t>
  </si>
  <si>
    <t>Veterinária Saraiva</t>
  </si>
  <si>
    <t>Av. Daniel de La Touche, 08 - Cohama, São Luís - MA, 65074-115</t>
  </si>
  <si>
    <t>Animal's Care 24h- Veterinária e pet shop em são luís</t>
  </si>
  <si>
    <t>Residencial parati - R. Aririzal, 43 - Cohama, São Luís - MA, 65067-197</t>
  </si>
  <si>
    <t>Royal Pet Clínica 24 horas</t>
  </si>
  <si>
    <t>IMPERATRIZ</t>
  </si>
  <si>
    <t>R. Duque de Caxias, 208 - Vila Lobão, Imperatriz - MA, 65910-150</t>
  </si>
  <si>
    <t>POLICLÍNICA VETERINÁRIA</t>
  </si>
  <si>
    <t>Av. dos Holandeses, 1001 - Olho D'agua, São Luís - MA, 65066-620</t>
  </si>
  <si>
    <t>Boulevard Pet Boutique</t>
  </si>
  <si>
    <t>DN R$120,00 / EMERGÊNCIA R$150,00</t>
  </si>
  <si>
    <t>R. Pernambuco, 70 - Juçara, Imperatriz - MA, 65900-500</t>
  </si>
  <si>
    <t>AngelPet Hospital Veterinário 24h</t>
  </si>
  <si>
    <t>DN R$120,00 / NT R$150,00 / MD R$170,00 - EMERGÊNCIA R$200,00</t>
  </si>
  <si>
    <t>Av. Constantino Nery, 2389 - Chapada, Manaus - AM, 69050-001</t>
  </si>
  <si>
    <t>Clínica Veterinária Dr. Pires</t>
  </si>
  <si>
    <t>DN R$250,00 / NT R$280,00</t>
  </si>
  <si>
    <t>Av. Guilherme Paraense, 5 - Adrianópolis, Manaus - AM, 69057-095</t>
  </si>
  <si>
    <r>
      <rPr>
        <rFont val="Calibri"/>
        <color theme="1"/>
        <sz val="12.0"/>
      </rPr>
      <t xml:space="preserve">CEMEV - Centro de </t>
    </r>
    <r>
      <rPr>
        <rFont val="Calibri"/>
        <b/>
        <color theme="1"/>
        <sz val="12.0"/>
      </rPr>
      <t>Especialidades</t>
    </r>
    <r>
      <rPr>
        <rFont val="Calibri"/>
        <color theme="1"/>
        <sz val="12.0"/>
      </rPr>
      <t xml:space="preserve"> Médico Veterinário</t>
    </r>
  </si>
  <si>
    <t>A PARTIR DE R$300,00</t>
  </si>
  <si>
    <t>R. Sete de Setembro, 2482 - Centro, Campo Grande - MS, 79020-310</t>
  </si>
  <si>
    <t>Veth Clin Clinica Veterinária</t>
  </si>
  <si>
    <t>DN R$120,00 / NT R$240,00</t>
  </si>
  <si>
    <t>R. Vitório Zeola, 1049 - Carandá Bosque, Campo Grande - MS, 79032-360</t>
  </si>
  <si>
    <t>Clinica Veterinária auQmia</t>
  </si>
  <si>
    <t>DN R$150,00 / NT R$180,00 / MD R$200,00</t>
  </si>
  <si>
    <t>R. Santos Dumont, 1238 - Vila Planalto, Campo Grande - MS, 79008-560</t>
  </si>
  <si>
    <t>Clínica Veterinária Dog &amp; Company 24h</t>
  </si>
  <si>
    <t>R. San Marino Park, 132 - Chácara Cachoeira, Campo Grande - MS, 79040-580</t>
  </si>
  <si>
    <t>Clinvet</t>
  </si>
  <si>
    <t>DN R$150,00 / NT R$180,00 A R$200,00</t>
  </si>
  <si>
    <t>R. Rui Barbosa, 1218 - Vila Gloria, Campo Grande - MS, 79004-440</t>
  </si>
  <si>
    <t>Clínica Veterinária Integrativa</t>
  </si>
  <si>
    <t>Av. Júlio de Castilho, 1607 - Vila Alba, Campo Grande - MS, 79100-005</t>
  </si>
  <si>
    <t>VetClínicas Serviços Veterinários</t>
  </si>
  <si>
    <t>DN R$180,00 / NT R$200,00 / MD R$220,00</t>
  </si>
  <si>
    <t>Av. Ceará, 1400 - Santa Fe, Campo Grande - MS, 79021-000</t>
  </si>
  <si>
    <t>Vets - Clínica Veterinária</t>
  </si>
  <si>
    <t>R. Maranhão, 187 - Vila Rica, Campo Grande - MS, 79022-560</t>
  </si>
  <si>
    <t>Doctor Vet</t>
  </si>
  <si>
    <t>Emporio Pet Hospital Veterinário 24 horas</t>
  </si>
  <si>
    <t>Av. Brg. Eduardo Gomes, 3275 - Mecejana, Boa Vista - RR, 69304-015</t>
  </si>
  <si>
    <t>Hospital Veterinário Espaço Vet</t>
  </si>
  <si>
    <t>Av. Carlos Pereira de Melo, 3376 - Caranã, Boa Vista - RR, 69313-630</t>
  </si>
  <si>
    <t>Vet company</t>
  </si>
  <si>
    <t xml:space="preserve">DN R$110,00 / NT R$150,00 </t>
  </si>
  <si>
    <t>Av. Santos Dumont, 537 - São Pedro, Boa Vista - RR, 69306-680</t>
  </si>
  <si>
    <t>Prontodog Hospital Veterinário Pet Shop</t>
  </si>
  <si>
    <t>Av. Gov. Jorge Teixeira, 2021 - Liberdade, Porto Velho - RO, 76803-895</t>
  </si>
  <si>
    <t>Prontovet Hospital Veterinário</t>
  </si>
  <si>
    <t>ARIQUEMES</t>
  </si>
  <si>
    <t>DN R$160,00 / NT R$250,00</t>
  </si>
  <si>
    <t>Av. Candeias, 3817 - Jardim América, Ariquemes - RO, 76871-012</t>
  </si>
  <si>
    <t>Prontovet Ariquemes</t>
  </si>
  <si>
    <t>Av. Canaã, 2741 - St. 03, Ariquemes - RO, 76870-417</t>
  </si>
  <si>
    <t>RioVet Centro de Cuidado Animal</t>
  </si>
  <si>
    <t>DN R$100,00 / NT R$180,00</t>
  </si>
  <si>
    <t>Av. Clóvis Arraes, 839 - Bairro Centro, Ji-Paraná - RO, 76900-047</t>
  </si>
  <si>
    <t>RoVet Clínica Veterinária</t>
  </si>
  <si>
    <t>PARAÍSO DO TOCANTIS</t>
  </si>
  <si>
    <t>ESQUINA COM A - AVENIDA BERNARDO SAYAO, R. 21 de Abril, 416 - Centro, Paraíso do Tocantins - TO, 77600-000</t>
  </si>
  <si>
    <t>Hospital Veterinário - FACIT</t>
  </si>
  <si>
    <t>ARAGUAÍNA</t>
  </si>
  <si>
    <t>DN R$50,00 / NT R$100,00</t>
  </si>
  <si>
    <t>TO-222, S/N - Lote 2-A - Zona Rural, Araguaína - TO, 77804-970</t>
  </si>
  <si>
    <t>Clínica Veterinária Centaurus</t>
  </si>
  <si>
    <t>TOCANTIS</t>
  </si>
  <si>
    <t>R. Tocantins, 716 - St. Oeste, Paraíso do Tocantins - TO, 77440-000</t>
  </si>
  <si>
    <t>Pet &amp; Vet - Clínica Veterinária - Pet Shop</t>
  </si>
  <si>
    <t>Av. 23 de Outubro, 944 - St. Pouso Alegre, Paraíso do Tocantins - TO, 77600-000</t>
  </si>
  <si>
    <t>PET FILHOS - Assistência Veterinária</t>
  </si>
  <si>
    <t>R. Gen. Salgado, 431 - Boa Viagem, Recife - PE, 51130-320</t>
  </si>
  <si>
    <t xml:space="preserve">DN R$120,00 / NT R$140,00 </t>
  </si>
  <si>
    <t>Centro Veterinário Popular Camaçari - 24H</t>
  </si>
  <si>
    <t>CAMAÇARI</t>
  </si>
  <si>
    <t>R. Acajutiba, 12 - Gleba C, Camaçari - BA, 42807-055</t>
  </si>
  <si>
    <t>Pet Vida Busca Vida 24hs.</t>
  </si>
  <si>
    <t>DN R$120,00 / NT R$160,00</t>
  </si>
  <si>
    <t>Rua direta de Busca Vida, S/N - de Abrantes, Camaçari - BA, 42825-576</t>
  </si>
  <si>
    <t>Hospital Veterinario Linha Verde</t>
  </si>
  <si>
    <t>DN R$110,00 / NT R$180,00</t>
  </si>
  <si>
    <t>BA099 - estrada do coco - Monte Gordo, Camaçari - BA, 42837-002</t>
  </si>
  <si>
    <t>Veterinário 24 horas Onlypet - São Mateus</t>
  </si>
  <si>
    <t>DN R$50,00 / NT R$70,00</t>
  </si>
  <si>
    <t>Av. Sapopemba, 16030 - Jardim Rodolfo Pirani, São Paulo - SP, 08939-000</t>
  </si>
  <si>
    <t>Hospital Veterinário Aysú - Unidade Belém</t>
  </si>
  <si>
    <t>DN R$140,00 / NT R$160,00</t>
  </si>
  <si>
    <t>Av. José Bonifácio, 578 - Fátima, Belém - PA, 66063-075</t>
  </si>
  <si>
    <t>Clinica Dog Mania &amp; Cia</t>
  </si>
  <si>
    <t>Av. Menino Marcelo, 298 - Serraria, Maceió - AL, 57046-000</t>
  </si>
  <si>
    <t>Paraiso Vet Care</t>
  </si>
  <si>
    <t>DN R$350,00 / NT R$390,00</t>
  </si>
  <si>
    <t>Rua Correia Dias, 153 - Paraíso, São Paulo - SP, 04104-000</t>
  </si>
  <si>
    <t>Hospital Veterinário Popular Itaquera 24h</t>
  </si>
  <si>
    <t>Rua Américo Salvador Novelli, 166 - Itaquera, São Paulo - SP, 08210-050</t>
  </si>
  <si>
    <t>Centro Médico Veterinário - 24 Horas</t>
  </si>
  <si>
    <t>Estrada do M'Boi Mirim, 2084 - Jardim das Flores, São Paulo - SP, 04905-021</t>
  </si>
  <si>
    <t>Vetnasa Lapa 24 horas - Clínica Veterinária 24h</t>
  </si>
  <si>
    <t>R. Clélia, 1017 - Lapa, São Paulo - SP, 05042-000</t>
  </si>
  <si>
    <t>Vetnasa Mauá 24 horas - Clínica Veterinária 24h</t>
  </si>
  <si>
    <t>Av. Barão de Mauá, 3045 - Jardim Miranda D'Aviz, Mauá - SP, 09340-440</t>
  </si>
  <si>
    <t>Vetnasa Barueri 24 horas - Clínica Veterinária 24h</t>
  </si>
  <si>
    <t>R. Santo Antônio, 235 - Vila Sao Joao, Barueri - SP, 06402-000</t>
  </si>
  <si>
    <t>Vetnasa Interlagos 24 horas - Clínica Veterinária 24h</t>
  </si>
  <si>
    <t>Av. Atlântica, 3961 - Interlagos, São Paulo - SP, 04772-004</t>
  </si>
  <si>
    <t>Vetnasa Cotia 24 horas - Clínica Veterinária 24h</t>
  </si>
  <si>
    <t>R. Prof. José Barreto, 1649 - Jardim Dinorah, Cotia - SP, 06703-000</t>
  </si>
  <si>
    <t>Vetnasa Santo André 24 horas - Clínica Veterinária 24h</t>
  </si>
  <si>
    <t>Av. Dom Pedro II, 2382 - Campestre, Santo André - SP, 09080-001</t>
  </si>
  <si>
    <t>Vetnasa São Caetano do Sul 24 horas - Clínica Veterinária 24h</t>
  </si>
  <si>
    <t>Av. Goiás, 315 - Santo Antônio, São Caetano do Sul - SP, 09521-300</t>
  </si>
  <si>
    <t>Vetnasa Campo Limpo 24 horas - Clínica Veterinária 24h</t>
  </si>
  <si>
    <t>Estr. do Campo Limpo, 3514 - Vila Prel, São Paulo - SP, 05777-001</t>
  </si>
  <si>
    <t>Vetnasa Granja Vianna 24 horas - Clínica Veterinária 24h</t>
  </si>
  <si>
    <t>R. Ushima Kira, 20 - Granja Viana, Cotia - SP, 06709-048</t>
  </si>
  <si>
    <t>Vetnasa Guarulhos 24 horas - Clínica Veterinária 24h</t>
  </si>
  <si>
    <t>Av. Paulo Faccini, 365 - Macedo, Guarulhos - SP, 07111-000</t>
  </si>
  <si>
    <t>Vetnasa Mooca 24 horas - Clínica Veterinária 24h</t>
  </si>
  <si>
    <t>Av. Salim Farah Maluf, 3400 - Mooca, São Paulo - SP, 03165-000</t>
  </si>
  <si>
    <t>Vetnasa Vila Maria 24 horas - Clínica Veterinária 24h</t>
  </si>
  <si>
    <t>Av. Guilherme Cotching, 890 - Vila Maria, São Paulo - SP, 02113-012</t>
  </si>
  <si>
    <t>Vetnasa Brigadeiro</t>
  </si>
  <si>
    <t>Av. Brigadeiro Luís Antônio, 3724 - Jardim Paulista, São Paulo - SP, 01401-002</t>
  </si>
  <si>
    <t>Vetnasa City América 24 horas - Clínica Veterinária</t>
  </si>
  <si>
    <t>Av. do Anastácio, 293 - City América, São Paulo - SP, 05119-000</t>
  </si>
  <si>
    <t>Vetnasa Washington Luís 24 horas - Clínica Veterinária 24h</t>
  </si>
  <si>
    <t>Av. Washington Luís, 2990 - Santo Amaro, São Paulo - SP, 04626-000</t>
  </si>
  <si>
    <t>Vetnasa Bandeirantes 24 horas - Clínica Veterinária 24h</t>
  </si>
  <si>
    <t>Av. dos Bandeirantes, 2060 - Vila Olímpia, São Paulo - SP, 04553-003</t>
  </si>
  <si>
    <t>Vetnasa Osasco 24 horas - Clínica Veterinária 24h</t>
  </si>
  <si>
    <t>Av. Maria Campos, 306 - Centro, Osasco - SP, 06010-060</t>
  </si>
  <si>
    <t>Vetnasa Santana 24 horas - Clínica Veterinária 24h</t>
  </si>
  <si>
    <t>R. Voluntários da Pátria, 3110 - Santana, São Paulo - SP, 02402-200</t>
  </si>
  <si>
    <t>Vetnasa Butantã 24 horas - Clínica Veterinária 24h</t>
  </si>
  <si>
    <t>Av. Prof. Francisco Morato, 414 - Butantã, São Paulo - SP, 05512-000</t>
  </si>
  <si>
    <t>Vetnasa Pacaembu 24 horas - Clínica Veterinária 24h</t>
  </si>
  <si>
    <t>Av. Pacaembu, 1917 - Pacaembu, São Paulo - SP, 01234-001</t>
  </si>
  <si>
    <t>Vetnasa Freguesia do Ó 24 horas - Clínica Veterinária 24h</t>
  </si>
  <si>
    <t>Av. Inajar de Souza, 263 - Limão, São Paulo - SP, 02717-000</t>
  </si>
  <si>
    <t>WeVets | Centro Veterinário 24h | Unidade Pompéia</t>
  </si>
  <si>
    <t>Av. Pompéia, 633 - Pompeia, São Paulo - SP, 05023-000</t>
  </si>
  <si>
    <t>WeVets | Centro Veterinário 24h | Unidade Braz Leme</t>
  </si>
  <si>
    <t>Av. Braz Leme, 368 - Casa Verde, São Paulo - SP, 02511-000</t>
  </si>
  <si>
    <t>WeVets | Centro Veterinário 24h | Unidade Vila Leopoldina</t>
  </si>
  <si>
    <t>Av. Imperatriz Leopoldina, 1774 - Vila Leopoldina, São Paulo - SP, 05305-003</t>
  </si>
  <si>
    <t>Hospital Veterinário Cura 24h - Unidade Casa Verde</t>
  </si>
  <si>
    <t>DN R$74,00 / NT R$148,00</t>
  </si>
  <si>
    <t>R. Domingos Torres, 243 - Casa Verde, São Paulo - SP, 02521-100</t>
  </si>
  <si>
    <t xml:space="preserve">WeVets | Centro Veterinário 24h | Unidade Mooca
</t>
  </si>
  <si>
    <t>Av. Paes de Barros, 629 - Mooca, São Paulo - SP, 03115-020</t>
  </si>
  <si>
    <t>Hospital Veterinario Mutvet 24h- Unidade Pirituba</t>
  </si>
  <si>
    <t>DN R$70,00 / NT R$100,00 / EMERGÊNCIA R$150,00</t>
  </si>
  <si>
    <t>Av. Mutinga, 652 - Vila Pirituba, São Paulo - SP, 05154-000</t>
  </si>
  <si>
    <t>Clínica Veterinária 24h - Veterinário AuthenticVet</t>
  </si>
  <si>
    <t>DN R$59,00 / NT R$89,00</t>
  </si>
  <si>
    <t>Av. Dr. Francisco Ranieri, 550 - Lauzane Paulista, São Paulo - SP, 02435-061</t>
  </si>
  <si>
    <t>AMARE - Clínica Veterinária 24 horas</t>
  </si>
  <si>
    <t>R. Duílio, 492 - Vila Romana, São Paulo - SP, 05043-020</t>
  </si>
  <si>
    <t>WeVets | Centro Veterinário 24h | Unidade Sena Madureira</t>
  </si>
  <si>
    <t>R. Sena Madureira, 898 - Vila Mariana, São Paulo - SP, 04021-001</t>
  </si>
  <si>
    <t>WeVets | Centro Veterinário 24h | Unidade Morumbi</t>
  </si>
  <si>
    <t>Av. Morumbi, 6885 - Morumbi, São Paulo - SP, 05650-002</t>
  </si>
  <si>
    <t>WeVets | Centro Veterinário 24h | Unidade Jabaquara</t>
  </si>
  <si>
    <t>Av. do Café, 466 - Jabaquara, São Paulo - SP, 04311-001</t>
  </si>
  <si>
    <t>WeVets | Centro Veterinário 24h | Unidade Washington Luís</t>
  </si>
  <si>
    <t>Av. Washington Luís, 3054 - Santo Amaro, São Paulo - SP, 04626-000</t>
  </si>
  <si>
    <t>WeVets | Centro Veterinário 24h | Unidade Mariante</t>
  </si>
  <si>
    <t>R. Mariante, 1031 - Rio Branco, Porto Alegre - RS, 90430-181</t>
  </si>
  <si>
    <t>WeVets | Centro Veterinário 24h | Unidade Campo Belo</t>
  </si>
  <si>
    <t>Av. Ver. José Diniz, 2303 - Campo Belo, São Paulo - SP, 04603-001</t>
  </si>
  <si>
    <t>WeVets | Centro Veterinário 24h | Unidade Nilo Peçanha</t>
  </si>
  <si>
    <t>Av. Dr. Nilo Peçanha, 2433 - Petrópolis, Porto Alegre - RS, 91330-001</t>
  </si>
  <si>
    <t>WeVets | Centro Veterinário 24h | Unidade São Caetano</t>
  </si>
  <si>
    <t>Av. Goiás, 821 - Centro, São Caetano do Sul - SP, 09521-310</t>
  </si>
  <si>
    <t>WeVets | Centro Veterinário 24h | Unidade Butantã</t>
  </si>
  <si>
    <t>Av. Prof. Francisco Morato, 525 - Butantã, São Paulo - SP, 05513-000</t>
  </si>
  <si>
    <t>Clínica Veterinária Golden Dog Mogi</t>
  </si>
  <si>
    <t>MOGI DAS CRUZES</t>
  </si>
  <si>
    <t>DN R$165,00 / NT R$200,00 / MD R$250,00</t>
  </si>
  <si>
    <t>R. Raulindo Paiva, 20 - Alto Ipiranga, Mogi das Cruzes - SP, 08730-320</t>
  </si>
  <si>
    <t>Max Vet Hospital Veterinario 24 horas Suzano</t>
  </si>
  <si>
    <t>SUZANO</t>
  </si>
  <si>
    <t>DN R$20,00 / NT R$70,00</t>
  </si>
  <si>
    <t>R. Nove de Julho, 575 - Jardim Santa Helena, Suzano - SP, 08674-230</t>
  </si>
  <si>
    <t>Max Vet Hospital Veterinario Tiburcio de Souza</t>
  </si>
  <si>
    <t>Hospital Veterinário Mundo Animal 24H</t>
  </si>
  <si>
    <t>DN R$85,00 / NT R$95,00</t>
  </si>
  <si>
    <t>Av. Antônio Marques Figueira, 1962 - Vila Figueira, Suzano - SP, 08676-165</t>
  </si>
  <si>
    <t>My Vets - Clínica Veterinária 24h</t>
  </si>
  <si>
    <t>SANTO AMARO</t>
  </si>
  <si>
    <t>Rua Comendador Elias Zarzur, 178 - Santo Amaro, São Paulo - SP, 04736-000</t>
  </si>
  <si>
    <t>Hovet Mascote 24 horas</t>
  </si>
  <si>
    <t>DN R$130,00 / NT R$235,00</t>
  </si>
  <si>
    <t>Av. Damasceno Vieira, 711 - Vila Mascote, São Paulo - SP, 04363-040</t>
  </si>
  <si>
    <t>Clinica veterinária Salva Pet São Paulo Atendimento 24HORAS</t>
  </si>
  <si>
    <t>551145876252 / WPP 5511972729215</t>
  </si>
  <si>
    <t xml:space="preserve"> SÃO PAULO</t>
  </si>
  <si>
    <t>Rua Lacônia, 82 - Vila Mascote, São Paulo - SP, 04634-020</t>
  </si>
  <si>
    <t>QUERUBIM - Hospital Veterinário 24h</t>
  </si>
  <si>
    <t xml:space="preserve">R$295,00 </t>
  </si>
  <si>
    <t>Av. dos Eucaliptos, 704 - Moema, São Paulo - SP, 04517-050</t>
  </si>
  <si>
    <t>Vet Quality Hospital Veterinário 24h</t>
  </si>
  <si>
    <t>DN R$288,00 / NT R$383,00</t>
  </si>
  <si>
    <t>R. Vieira de Morais, 1862 - Campo Belo, São Paulo - SP, 04617-007</t>
  </si>
  <si>
    <t>AmarVet's Hospital Veterinário</t>
  </si>
  <si>
    <t>DN R$390,00 / R$490,00</t>
  </si>
  <si>
    <t>Av. Indianópolis, 962 - Moema, São Paulo - SP, 04062-001</t>
  </si>
  <si>
    <t>Clínica Safari - Medicina Veterinária Especializada</t>
  </si>
  <si>
    <t>DN R$350,00 / NT R$400,00</t>
  </si>
  <si>
    <t>Av. Indianópolis, 2291 - Indianópolis, São Paulo - SP, 04063-004</t>
  </si>
  <si>
    <t>Pet Care Hospital Veterinário - Unidade Ibirapuera</t>
  </si>
  <si>
    <t>DN R$460,00 / NT R$547,00</t>
  </si>
  <si>
    <t>Av. República do Líbano, 270 - Ibirapuera, São Paulo - SP, 04502-000</t>
  </si>
  <si>
    <t>HOSPITAL VETERINÁRIO ANIMAL CARE IPIRANGA</t>
  </si>
  <si>
    <t>DN R$200,00 / NT R$337,50</t>
  </si>
  <si>
    <t>R. Bom Pastor, 2569 - Ipiranga, São Paulo - SP, 04203-053</t>
  </si>
  <si>
    <t>Booth Vet Care Hospital Veterinário</t>
  </si>
  <si>
    <t>R. Pinheiro Guimarães, 755 - Parque da Vila Prudente, São Paulo - SP, 03141-030</t>
  </si>
  <si>
    <t>Hospital Veterinário Santa Terezinha 24h e Pet Shop</t>
  </si>
  <si>
    <t>DN R$110,00 / NT R$150,00 / MD R$200,00</t>
  </si>
  <si>
    <t>Alameda Vieira de Carvalho, 532/534 - Santa Terezinha, Santo André - SP, 09210-630</t>
  </si>
  <si>
    <t>Clínica Veterinária Love 24 horas</t>
  </si>
  <si>
    <t>DN R$250,00 / NT R$290,00</t>
  </si>
  <si>
    <t>Av. Roque Petroni Júnior, 232 - Cidade Monções, São Paulo - SP, 04707-000</t>
  </si>
  <si>
    <t>Clínica Veterinária Strix</t>
  </si>
  <si>
    <t>DN R$90,00 / NT R$180,00</t>
  </si>
  <si>
    <t>Av. Professor Vicente Ráo, 1275 - Jardim Petropolis, São Paulo - SP, 04636-001</t>
  </si>
  <si>
    <t>Veterinária São Bento</t>
  </si>
  <si>
    <t>Av. Almirante Júlio César de Noronha, 150 - Centro, Angra dos Reis - RJ, 23900-010</t>
  </si>
  <si>
    <t>Clínica Veterinária Saúde Animal</t>
  </si>
  <si>
    <t>Alameda Luísa Angélica, 393 - Balneário, Angra dos Reis - RJ, 23906-195</t>
  </si>
  <si>
    <t>CSM Clinica Veterinária</t>
  </si>
  <si>
    <t>R. Júlio Wischral, 1099 - Casa 01 - Uberaba, Curitiba - PR, 81540-590</t>
  </si>
  <si>
    <t>SOS Hospital Veterinário</t>
  </si>
  <si>
    <t>DN R$215,00 / NT R$280,00</t>
  </si>
  <si>
    <t>Av. Com. Franco, 3036 - Guabirotuba, Curitiba - PR, 81520-000</t>
  </si>
  <si>
    <t>Hospital Veterinario SanVet</t>
  </si>
  <si>
    <t>R$330,00 / consulta R$100,00</t>
  </si>
  <si>
    <t>Av. Brasil Sul, 1738 - Vila Miguel Jorge, Anápolis - GO, 75123-645</t>
  </si>
  <si>
    <t>Clínica Veterinária Animal Planet</t>
  </si>
  <si>
    <t>R$120,00 / R$160,00</t>
  </si>
  <si>
    <t>R. João José, 35 - Jundiaí, Anápolis - GO, 75110-350</t>
  </si>
  <si>
    <t>ZamPet - Clínica Veterinária e Pet Shop</t>
  </si>
  <si>
    <t>R$100,00 / R$180,00</t>
  </si>
  <si>
    <t>Quadra, 71 - Lote 16 - JK Nova Capital, Anápolis - GO, 75114-225</t>
  </si>
  <si>
    <t>PetZoo - Clínica Veterinária, Petshop e Estética Animal</t>
  </si>
  <si>
    <t>R$160,00 / R$180,00</t>
  </si>
  <si>
    <t>Av. Santos Dumont, 246 - Jundiaí, Anápolis - GO, 75113-180</t>
  </si>
  <si>
    <t>AMARPET HOSPITAL VETERINÁRIO</t>
  </si>
  <si>
    <t>R$100,00 / R$160,00</t>
  </si>
  <si>
    <t>Av. Tiradentes, 939 - Centro, Anápolis - GO, 75040-410</t>
  </si>
  <si>
    <t>Clínica Veterinária E PetShop Hane'i</t>
  </si>
  <si>
    <t>R$120,00 / R$150,00</t>
  </si>
  <si>
    <t>CNPJ NO TURNO DIURNO</t>
  </si>
  <si>
    <t>R. Argentina, 1059 - Boa Vista, Anápolis - GO, 75075-200</t>
  </si>
  <si>
    <t>Vet Luz Clínica Veterinária 24 horas</t>
  </si>
  <si>
    <t>R$100,00 / R$150,00</t>
  </si>
  <si>
    <t>Avenida Joao Pinheiro, A, n° 515 - qd 04 Lt 51 - Vila Jaiara, Anápolis - GO, 75064-356</t>
  </si>
  <si>
    <t>Dr. Pet Domiciliar</t>
  </si>
  <si>
    <t>TODO OS DIAS ATÉ ÀS 22H</t>
  </si>
  <si>
    <t>VET RJ - Rio de Janeiro a domicílio</t>
  </si>
  <si>
    <t>5521 994543577</t>
  </si>
  <si>
    <t>HR COMERCIAL R$ 250,00 | SÁBADO R$ 350,00</t>
  </si>
  <si>
    <t xml:space="preserve">ACEITA PIX </t>
  </si>
  <si>
    <t xml:space="preserve">HORARIO COMERCIAL DURANTE A SEMANA E AOS SÁBADOS </t>
  </si>
  <si>
    <t>Domiciliar Ambulare Vet RJ</t>
  </si>
  <si>
    <t>A PARTIR DE R$650,00</t>
  </si>
  <si>
    <t>24H - ZONA SUL, NORTE E OESTE</t>
  </si>
  <si>
    <t>Atende Pet</t>
  </si>
  <si>
    <t>A PARTIR DE R$180,00</t>
  </si>
  <si>
    <t>Seg a Sex 8h às 18h /Sábado das 9h às 14h</t>
  </si>
  <si>
    <t>Mv. Larissa Alves - Atendimento Veterinário Domiciliar</t>
  </si>
  <si>
    <t>A PARTIR DE R$250,00</t>
  </si>
  <si>
    <t>24H - PREFERÊNCIA DE CTT POR WPP</t>
  </si>
  <si>
    <t>Conforvet</t>
  </si>
  <si>
    <t>CEDROS CAMBORIÚ</t>
  </si>
  <si>
    <t>A PARTIR DE R$170,00</t>
  </si>
  <si>
    <t>CTT POR WPP - ATEND. NAS REGIÕES DE Camboriú, Balneário Camboriú, Itajaí e Itapema.</t>
  </si>
  <si>
    <t>Clínica Veterinária em Domicílio</t>
  </si>
  <si>
    <t>MACEIO</t>
  </si>
  <si>
    <t xml:space="preserve">ATEND. DE 08H ÀS 19H </t>
  </si>
  <si>
    <t>Vetdomiciliar.maceio - Andrea Alves - Médica Veterinária a domicilio</t>
  </si>
  <si>
    <t>A PARTIR DE R$120,00</t>
  </si>
  <si>
    <t>ATEND. DE 07H ÀS 09H E 17H ÀS 21H</t>
  </si>
  <si>
    <t>Dr. Ewerton de castro Medico Veterinario domiciliar</t>
  </si>
  <si>
    <t xml:space="preserve">24H </t>
  </si>
  <si>
    <t>Chame Vet! Atendimento Veterinário domiciliar</t>
  </si>
  <si>
    <t>BAHIA</t>
  </si>
  <si>
    <t>A PARTIR DE R$80,00 / NT R$250,00 / SÁB. R$120,00</t>
  </si>
  <si>
    <t xml:space="preserve">Cura+Ativa Pet Veterinária em domicilio </t>
  </si>
  <si>
    <t>ATEND. DE Seg. a Sex. 09H ÀS 17H / Sáb. 09h às 14h</t>
  </si>
  <si>
    <t>COLLAÇO VET | Atendimento Veterinário à Domicílio 24 H</t>
  </si>
  <si>
    <t>A PARTIR DE R$105,00</t>
  </si>
  <si>
    <t>24H</t>
  </si>
  <si>
    <t>Médica Veterinária Domiciliar - Nathane Silva</t>
  </si>
  <si>
    <t>Seg a Sex. 08h às 20h / Sáb. 08h às 13h</t>
  </si>
  <si>
    <t>LUNARDELLI MED VET - VETERINÁRIO A DOMICILIO</t>
  </si>
  <si>
    <t xml:space="preserve">Seg a Sáb de 08h às 19h -  Ribeirão da Ilha, Florianópolis </t>
  </si>
  <si>
    <t>Adriano Lazzarotto - Consultório Veterinário e atendimento domiciliar</t>
  </si>
  <si>
    <t>SÃO JOSE</t>
  </si>
  <si>
    <t>Seg. a Sáb. de 09h às 20h</t>
  </si>
  <si>
    <t>Vet Domiciliar Dra Bruna Peixoto</t>
  </si>
  <si>
    <t>REGIÃO DOS LAGOS</t>
  </si>
  <si>
    <t>24H EMERGÊNCIA E AGENDAMENTO</t>
  </si>
  <si>
    <t>M.V. Raul Bossler - atendimento veterinário domiciliar</t>
  </si>
  <si>
    <t>A PARTIR DE R$245,00</t>
  </si>
  <si>
    <t xml:space="preserve">Seg a Sex. 08h às 20h </t>
  </si>
  <si>
    <t>Clínica Veterinária Pet Móvel POA</t>
  </si>
  <si>
    <t xml:space="preserve">Seg a Sex. 09h às 19h </t>
  </si>
  <si>
    <t>Atendimento Veterinário domiciliar - Dra Luana Oliveira</t>
  </si>
  <si>
    <t>A PARTIR DE R$90,00</t>
  </si>
  <si>
    <t xml:space="preserve">Seg a Sex. 08h às 18h </t>
  </si>
  <si>
    <t xml:space="preserve">A PARTIR DE R$40,00 </t>
  </si>
  <si>
    <t>Tierwelt Pet Shop (Plantão 24h)</t>
  </si>
  <si>
    <t>A PARTIR DE R$50,00</t>
  </si>
  <si>
    <t>Dog Lounge Pet Boutique</t>
  </si>
  <si>
    <t>A PARTIR DE R$200,00</t>
  </si>
  <si>
    <t>Av. do Pepê, 600 - 8 - Barra da Tijuca, Rio de Janeiro - RJ, 22620-170</t>
  </si>
  <si>
    <t>Meu Pet Santa Amélia</t>
  </si>
  <si>
    <t>A PARTIR DE R$ 95,00</t>
  </si>
  <si>
    <t>Av. da Sinfonia, 436 - Santa Amelia, Belo Horizonte - MG, 31560-420</t>
  </si>
  <si>
    <t>Spa Doog | Pet Shop</t>
  </si>
  <si>
    <t>5585 97050433</t>
  </si>
  <si>
    <t>A PARTIR DE R$60,00</t>
  </si>
  <si>
    <t>----</t>
  </si>
  <si>
    <t>Av. Monsenhor Tabosa, 1281 - Praia de Iracema, Fortaleza - CE, 60165-065</t>
  </si>
  <si>
    <t>ACEITA PIX</t>
  </si>
  <si>
    <t>Mão AUmiga banho e tosa</t>
  </si>
  <si>
    <t>55 85989273475</t>
  </si>
  <si>
    <t>R. Almeida Prado, 154 - Loja 2 - Papicu, Fortaleza - CE, 60176-080</t>
  </si>
  <si>
    <t>MIGUARDA PET</t>
  </si>
  <si>
    <t>A PARTIR DE R$ 120,00</t>
  </si>
  <si>
    <t>R. Miosótis, 266 - Santo Andre, Belo Horizonte - MG, 31230-180</t>
  </si>
  <si>
    <t>Pet Life SPA</t>
  </si>
  <si>
    <t>SCEN TRECHO 01 Posto MELHOR, CONJUNTO 20 - Brasília, DF, 70800-110</t>
  </si>
  <si>
    <t>CHAVE PIX 45579584000130</t>
  </si>
  <si>
    <t>Pet Center Vira Lata</t>
  </si>
  <si>
    <t>R. Alberto Magno, 190 - Montese, Fortaleza - CE, 60416-400</t>
  </si>
  <si>
    <t>Anne Banho e Tosa</t>
  </si>
  <si>
    <t>Tv. Malavi, 27 - Americanópolis, São Paulo - SP, 04408-040</t>
  </si>
  <si>
    <t>PETS PEW - Pet Shop e Banho e Tosa.</t>
  </si>
  <si>
    <t>A PARTIR DE R$ 140,00</t>
  </si>
  <si>
    <t>QRcode</t>
  </si>
  <si>
    <t>R. Bento Freitas, 146 - Vila Buarque, São Paulo - SP, 01220-010</t>
  </si>
  <si>
    <t>Sergio Banho e Tosa</t>
  </si>
  <si>
    <t>1196066-6090</t>
  </si>
  <si>
    <t>A PARTIR DE R$ 100,00</t>
  </si>
  <si>
    <t>Av. Dr. Salomão Vasconcelos, 696 - Eng. Goulart, São Paulo - SP, 03721-020</t>
  </si>
  <si>
    <t>Cris Pet Banho e Tosa</t>
  </si>
  <si>
    <t>Praça Joaquim José da Nova, 107b - Vila Maria Alta, São Paulo - SP, 02126-000</t>
  </si>
  <si>
    <t>A PARTIR DE R$85,00</t>
  </si>
  <si>
    <t xml:space="preserve">Amor de Bicho </t>
  </si>
  <si>
    <t>A PARTIR DE R$80,00</t>
  </si>
  <si>
    <t>A PARTIR DE R$42,00</t>
  </si>
  <si>
    <t>A PARTIR DE R$57,00</t>
  </si>
  <si>
    <t>A PARTIR DE R$100,00</t>
  </si>
  <si>
    <t>TS Banho e Tosa</t>
  </si>
  <si>
    <t>A PARTIR DE R$110,00</t>
  </si>
  <si>
    <t>R. Xavier da Silva, 2114 - Centro, Foz do Iguaçu - PR, 85852-110</t>
  </si>
  <si>
    <t xml:space="preserve">Banho e Tosa │Focinho &amp; Afeto │ Foz
</t>
  </si>
  <si>
    <t>5545 9157-3083</t>
  </si>
  <si>
    <t>Banho e tosa do Ernani</t>
  </si>
  <si>
    <t>A PARTIR DE R$ 75,00</t>
  </si>
  <si>
    <t>R. Curitiba, 109 - Conj. C, Foz do Iguaçu - PR, 85870-020</t>
  </si>
  <si>
    <t>Uou Pet Shop</t>
  </si>
  <si>
    <t>5571 992344373</t>
  </si>
  <si>
    <t xml:space="preserve">SALVADOR </t>
  </si>
  <si>
    <t xml:space="preserve">QRCODE </t>
  </si>
  <si>
    <t xml:space="preserve"> Apart Hotel - Av. Oceânica, 2400 - Loja 22 - Ondina, Salvador - BA, 40170-010</t>
  </si>
  <si>
    <t>Planeta Dog Mix</t>
  </si>
  <si>
    <t>A PARTIR DE R$ 50,00</t>
  </si>
  <si>
    <t>padaria real - R. Direta da Mata Escura, 476 - Enfrente a - Mata Escura, Salvador - BA, 41225-190</t>
  </si>
  <si>
    <t>BeM PET | Petshop</t>
  </si>
  <si>
    <t>A PARTIR DE R$ 55,00</t>
  </si>
  <si>
    <t xml:space="preserve">E-MAIL </t>
  </si>
  <si>
    <t>R. Direta da Mata Escura, N° 355 - Mata Escura, Salvador - BA, 41225-190</t>
  </si>
  <si>
    <t>CHAVE PIX: bempet01@gmail.com</t>
  </si>
  <si>
    <t>Nippon Pet Center Veterinário Banho e Tosa</t>
  </si>
  <si>
    <t>R. Cel. Ernesto de Oliveira, 28 - Centro, Ubatuba - SP, 11690-075</t>
  </si>
  <si>
    <t>BICHO MIMADO | Clínica Veterinária &amp; PetShop</t>
  </si>
  <si>
    <t>Av. Odisseu, 441 - Praia Canto O Mar, São Sebastião - SP, 11610-000</t>
  </si>
  <si>
    <t>PET SHOP e CASA DE RAÇÃO em São Sebastião - Pets Cães Gatos e Você (Banho e Tosa) Petz</t>
  </si>
  <si>
    <t>A PARTIR DE R$55,00</t>
  </si>
  <si>
    <t>Av. Guarda Mor Lobo Viana, 138 - Centro, São Sebastião - SP, 11600-000</t>
  </si>
  <si>
    <t>A PARTIR DE R$95,00</t>
  </si>
  <si>
    <t>A PARTIR DE R$45,00</t>
  </si>
  <si>
    <t>Pet Shop Mascote's</t>
  </si>
  <si>
    <t>A PARTIR DE R$30,00</t>
  </si>
  <si>
    <t>Pega Pet Veterinários 24 Horas</t>
  </si>
  <si>
    <t>R. Tertuliano Francisco Feitosa, 165 - Casa Caiada, Olinda - PE, 53130-410</t>
  </si>
  <si>
    <t>Pet Méier (Pet shop / Banho e tosa)</t>
  </si>
  <si>
    <t>A PARTIR DE R$56,00</t>
  </si>
  <si>
    <t>R. Dias da Cruz, 335 - Méier, Rio de Janeiro - RJ, 20720-010</t>
  </si>
  <si>
    <t>MAXI PET</t>
  </si>
  <si>
    <t>R. Dias da Cruz, 496 - Méier, Rio de Janeiro - RJ, 20720-013</t>
  </si>
  <si>
    <t>Planeta Pet Copacabana</t>
  </si>
  <si>
    <t>A PARTIR DE R$59,00</t>
  </si>
  <si>
    <t>R. Rodolfo Dantas, 106 - Loja A - Copacabana, Rio de Janeiro - RJ, 22020-040</t>
  </si>
  <si>
    <t>Pés &amp; Patas Copacabana (Santa Clara)</t>
  </si>
  <si>
    <t>A PARTIR DE R$68,00</t>
  </si>
  <si>
    <t>R. Santa Clara, 110 - Loja A - Copacabana, Rio de Janeiro - RJ, 22041-012</t>
  </si>
  <si>
    <t xml:space="preserve">Central Da Beleza Pet
</t>
  </si>
  <si>
    <t xml:space="preserve">IPOJUCA </t>
  </si>
  <si>
    <t>R. da Assembléia, 125 A - Porto de Galinhas, Ipojuca - PE, 55593-150</t>
  </si>
  <si>
    <t>Piticas Banho e Tosa</t>
  </si>
  <si>
    <t xml:space="preserve"> conjunto Santa Lúcia - Avenida Coronel Sizino da Rocha.102, loja 01, Jabotiana - Santa Lucia, Aracaju - SE, 49095-600</t>
  </si>
  <si>
    <t xml:space="preserve">Aquarium Clínica e Pet Shop </t>
  </si>
  <si>
    <t>Av. Antônio Fagundes Santana, 242 - 13 de Julho, Aracaju - SE, 49020-070</t>
  </si>
  <si>
    <t xml:space="preserve">Banho e tosa Pet Imperial
</t>
  </si>
  <si>
    <t>A PARTIR DE R$70,00</t>
  </si>
  <si>
    <t>R. Jane Bonfim, 761 - Santos Dumont, Aracaju - SE, 49087-320</t>
  </si>
  <si>
    <t xml:space="preserve">Dog star estética canina
</t>
  </si>
  <si>
    <t>Rua Mabel Dantas do espírito santo 898 - Farolândia, Aracaju - SE, 49030-426</t>
  </si>
  <si>
    <t>Clinivet - Hospital Veterinário</t>
  </si>
  <si>
    <t>R. Holanda, 894 - Boa Vista, Curitiba - PR, 82540-040</t>
  </si>
  <si>
    <t xml:space="preserve">ME BANHO E TOSA E PETSHOP
</t>
  </si>
  <si>
    <t xml:space="preserve">GOIÂNIA </t>
  </si>
  <si>
    <t>R. 1015, qd125 lt16 - St. Pedro Ludovico, Goiânia - GO, 74820-285</t>
  </si>
  <si>
    <t>Keydiara Pet Shop &amp; Farmácia</t>
  </si>
  <si>
    <t>ITABAIANA</t>
  </si>
  <si>
    <t>R. Santa Cruz, 77 - Centro, Itabaiana - SE, 49500-094</t>
  </si>
  <si>
    <t>ÁGAPE VET - Consultório Veterinário e Pet Shop</t>
  </si>
  <si>
    <t>R. Manoel Téles de Mendonça, n° 110 - Sala 2 - Rotary Club, Itabaiana - SE, 49506-156</t>
  </si>
  <si>
    <t>Du Lima clínica vet e pet shop</t>
  </si>
  <si>
    <t>Av. Camapuã, 678 B - Nova Cidade, Manaus - AM, 69097-720</t>
  </si>
  <si>
    <t>Manípet</t>
  </si>
  <si>
    <t>A PARTIR DE R$35,00</t>
  </si>
  <si>
    <t>Av. Profa. Cora de Carvalho, 1599 - Central, Macapá - AP, 68900-040</t>
  </si>
  <si>
    <t>Pet Shop Expresso Animal - Caranã 24h</t>
  </si>
  <si>
    <t>Av. Carlos Pereira de Melo, 3376 - União, Boa Vista - RR, 69313-630</t>
  </si>
  <si>
    <t>Clínica Veterinária - Banho e Tosa - Arca de Noé Pet Care</t>
  </si>
  <si>
    <t>Av. Getúlio Vargas, 4957 - São Pedro, Boa Vista - RR, 69306-700</t>
  </si>
  <si>
    <t>Fiel Amigo Funeral Pet- Crematório e Cemitério de Animais</t>
  </si>
  <si>
    <t>R$350,00 COLETIVA / R$800,00 INDIVIDUAL</t>
  </si>
  <si>
    <t>Rua, Rio de Janeiro - RJ, 20720-230</t>
  </si>
  <si>
    <t xml:space="preserve">Amor de patas </t>
  </si>
  <si>
    <t>R$1300,00 INDIVIDUAL / R$890,00</t>
  </si>
  <si>
    <t>R. Mal. Barbacena, 864 - Vila Reg. Feijó, São Paulo - SP, 03333-000</t>
  </si>
  <si>
    <t xml:space="preserve">Amor de Patas Pet Crematório
</t>
  </si>
  <si>
    <t>5532 9819-1915</t>
  </si>
  <si>
    <t xml:space="preserve">MATIAS BARBOSA </t>
  </si>
  <si>
    <t>711,00 INDIVIDUAL / 553,00 COMPARTILHADO</t>
  </si>
  <si>
    <t>R. Renê Queirós Fabiano Alves, 671, Matias Barbosa - MG, 36120-000</t>
  </si>
  <si>
    <t>Funeraria vida pet</t>
  </si>
  <si>
    <t>CREMAÇÃO A PARTIR DE R$ 370,00 / SEPULTAMENTO A PARTIR
DE R$ 339,00</t>
  </si>
  <si>
    <t>Rua Oswaldo Cruz, 140 Centro, Juiz de Fora, MG CEP: 36013-090</t>
  </si>
  <si>
    <t>Aceita PIX, mas 
não informou a chave</t>
  </si>
  <si>
    <t>PetFênix Crematório de Animais - Unidade Sergipe</t>
  </si>
  <si>
    <t>Cremação Imediata - R$ 1380,00
Cremação Individual - R$ 800,00 
Cremação Coletiva - R$ 520,00</t>
  </si>
  <si>
    <t>BR-101, KM 92 GALPÃO 5, R. Vinte Seis Palestina, Nossa Sra. do Socorro - SE, 49160-000</t>
  </si>
  <si>
    <t xml:space="preserve">R.I.P. Pet Funeral e Crematório de Animais
</t>
  </si>
  <si>
    <t xml:space="preserve">Cremação Individual - R$ 1.490,00 / R$ 1.640,00 </t>
  </si>
  <si>
    <t>Rua Rosa e Silva, Vila de casas, 150 - Higienópolis, São Paulo - SP, 01230-020</t>
  </si>
  <si>
    <t xml:space="preserve">Anjos Memorial Pet - Funerária e crematório para pets em São Paulo
</t>
  </si>
  <si>
    <t>Cremação Individual - R$1300,00
Cremação Coletiva - R$ 890,00</t>
  </si>
  <si>
    <t>Crematório Pet São Paulo Serviços Funerários 
para Animais</t>
  </si>
  <si>
    <t>Cremação individual - R$ 1.390,00
Cremação Coletiva - R$ 890,00</t>
  </si>
  <si>
    <t xml:space="preserve"> Av. Brig. Faria Lima, 1572 - Sala 1022 - Jardim Paulistano, São Paulo - SP, 01451-001</t>
  </si>
  <si>
    <t xml:space="preserve">Memorial Pet BH </t>
  </si>
  <si>
    <t>Cremação até 10 kg
Individual R$ 695,00
Coletiva R$ 460,00</t>
  </si>
  <si>
    <t>Avenida Amazonas, 6774 Bairro Gameleira, Belo Horizonte/MG CEP: 30510-000</t>
  </si>
  <si>
    <t>Funerária Pet Ceará</t>
  </si>
  <si>
    <t xml:space="preserve">FORTALEZA </t>
  </si>
  <si>
    <t xml:space="preserve">Cremação individual - Até 5,00kg: R$690
Cremação Coletiva - Até 5,00kg: R$390
</t>
  </si>
  <si>
    <t>R. Jaime Pinheiro, 100 - Guararapes, Fortaleza - CE, 60810-250</t>
  </si>
  <si>
    <t>Anjo Eterno Pet - Crematório de Animais</t>
  </si>
  <si>
    <t xml:space="preserve">Cremação Individual -  A partir R$1.200,00
Cremação Compartilhada - A partir R$750,00
Cremação Coletiva - A partir  R$660,00
</t>
  </si>
  <si>
    <t>Av. Pres. Juscelino Kubitschek, 5561 - Passaré, Fortaleza - CE, 60861-634</t>
  </si>
  <si>
    <t xml:space="preserve">Memorial do Amigo Crematório de Animais
</t>
  </si>
  <si>
    <t xml:space="preserve">RIO DE JANEIRO </t>
  </si>
  <si>
    <t>Cremação Coletiva R$295
Cremação Individual R$595</t>
  </si>
  <si>
    <t>Caxias - RJ</t>
  </si>
  <si>
    <t xml:space="preserve">Funeral Pet Horizonte Belo
</t>
  </si>
  <si>
    <t xml:space="preserve">Cremação individual - R$ 700 
Cremação coletiva - R$ 450,00
</t>
  </si>
  <si>
    <t>R. das Gabirobas, 100 - 2º Andar - Vila Cloris, Belo Horizonte - MG, 31744-012</t>
  </si>
  <si>
    <t xml:space="preserve">PetFênix Crematório de Animais - Unidade Alagoas
</t>
  </si>
  <si>
    <t xml:space="preserve">AL </t>
  </si>
  <si>
    <t xml:space="preserve">Cremação Imediata - R$ 1380,00 
Cremação Individual - R$ 690,00
Cremação Coletiva - R$ 400,00
</t>
  </si>
  <si>
    <t>Av. Menino Marcelo, 844 - Tabuleiro do Martins, Maceió - AL, 57052-715</t>
  </si>
  <si>
    <t xml:space="preserve">Crematório Pet Vaticano
</t>
  </si>
  <si>
    <t xml:space="preserve">Cremação Coletiva - A partir R$360,00 
Cremação Exclusiva -  A partir R$760,00 </t>
  </si>
  <si>
    <t>R. Quari, 25 - São Francisco, Curitiba - PR, 80510-029</t>
  </si>
  <si>
    <t xml:space="preserve">Jair Cemitério de Animais Salvador.
</t>
  </si>
  <si>
    <t>5571 9280-3236</t>
  </si>
  <si>
    <t xml:space="preserve">BA </t>
  </si>
  <si>
    <t>- Sepultamento individual com a remoção em salvador 500,00
- Sepultamento coletivo com a remoção em salvador 400,00
- Cremação individual com remoção e entrega das cinzas em salvador 700,00</t>
  </si>
  <si>
    <t>R. Apolo XI, 10 - Campinas de Pirajá, Salvador - BA, 41275-480</t>
  </si>
  <si>
    <t xml:space="preserve">GardenPet Crematorio Animal
</t>
  </si>
  <si>
    <t xml:space="preserve">SÃO JOSE </t>
  </si>
  <si>
    <t>Cremação Individual - R$ 910,00
Cremação coletiva - R$ 710,00</t>
  </si>
  <si>
    <t>R. Jaci Schlichting de Lins, 1660 - Praia Comprida, São José - SC, 88103-482</t>
  </si>
  <si>
    <t xml:space="preserve">Pet Saff
</t>
  </si>
  <si>
    <t>acolhimento/cremação sem retorno das cinzas: R$ 495,00
acolhimento/cremação com retorno das cinzas: R$ 940,00</t>
  </si>
  <si>
    <t>R. Jorge Sanwais, 747 - Centro, Foz do Iguaçu - PR, 85851-150</t>
  </si>
  <si>
    <t>Crematório Vaticano Balneário Camboriú</t>
  </si>
  <si>
    <t xml:space="preserve">Cremação individual - R$ 842,00
Cremação ColetivaR$ 544,00
</t>
  </si>
  <si>
    <t>Br 101, Km 132, 3650, Balneário Camboriú - SC, 88339-115</t>
  </si>
  <si>
    <t>Anjos Crematorio Pet</t>
  </si>
  <si>
    <t>Coletiva a partir de R$ 280,00</t>
  </si>
  <si>
    <t>Av. Montenegro, 414 - Petrópolis, Porto Alegre - RS, 90460-160</t>
  </si>
  <si>
    <t xml:space="preserve">Funerária Ritter
</t>
  </si>
  <si>
    <t xml:space="preserve">CACHOEIRINHA </t>
  </si>
  <si>
    <t>Coletiva a partir de R$ 475,00</t>
  </si>
  <si>
    <t>Av. Fernando Ferrari, 314 - Vila Regina, Cachoeirinha - RS, 94930-075</t>
  </si>
  <si>
    <t>Vida Pet - Funerária e Plano Funeral de Animais</t>
  </si>
  <si>
    <t>Sepultamento A partir R$506,00 / Cremação a partir R$270,00</t>
  </si>
  <si>
    <t>R. Osvaldo Cruz, 140 - Centro, Juiz de Fora - MG, 36013-090</t>
  </si>
  <si>
    <t>My Pet Memo - Crematório de Animais</t>
  </si>
  <si>
    <t>SANTO ANDRE</t>
  </si>
  <si>
    <t>CREMAÇÃO A PARTIR DE R$500,00</t>
  </si>
  <si>
    <t>R. das Caneleiras, 535 - Jardim, Santo André - SP, 09090-050</t>
  </si>
  <si>
    <t>Crematório Pet São Paulo Serviços Funerários para Animais</t>
  </si>
  <si>
    <t>CREMAÇÃO COLETIVA R$890,00 / INDIVIDUAL R$1390,00</t>
  </si>
  <si>
    <t>Av. Brig. Faria Lima, 1572 - Sala 1022 - Jardim Paulistano, São Paulo - SP, 01451-001</t>
  </si>
  <si>
    <t>Pet's Garden Cemitério e Crematório de Animais</t>
  </si>
  <si>
    <t>A partir Cremação coletiva R$290,00 / Cremação Ind. R$320,00</t>
  </si>
  <si>
    <t>Estr. do Morro Cavado, 1485 - Ilha de Guaratiba, Rio de Janeiro - RJ, 23030-360</t>
  </si>
  <si>
    <t>Luna Pet Crematório de Animais</t>
  </si>
  <si>
    <t>A PARTIR DE COLETIVA R$890,00 / IND. R$1390,00</t>
  </si>
  <si>
    <t>R. Vieira de Morais, 1496 - Campo Belo, São Paulo - SP, 04617-005</t>
  </si>
  <si>
    <t>R.I.P. Pet Funeral e Crematório de Animais</t>
  </si>
  <si>
    <t>A PARTIR DE - COLETIVA R$1050,00 / IND. 1590,00</t>
  </si>
  <si>
    <t>Pax Funeral e Plano Pet em BH</t>
  </si>
  <si>
    <t>A PARTIR DE COLETIVA R$560,00 / IND. R$950,00</t>
  </si>
  <si>
    <t>R. Padre Pedro Pinto, 130 - Venda Nova, Belo Horizonte - MG, 31610-000</t>
  </si>
  <si>
    <t>Funeral Pet Horizonte Belo (POSSÍVEL PARCERIA DE VALORES)</t>
  </si>
  <si>
    <t>A PARTIR DE COLETIVA R$475,00 / IND. R$700,00</t>
  </si>
  <si>
    <t>Funerária e crematório Raja PET</t>
  </si>
  <si>
    <t>A PARTIR DE R$699,00 APENAS CREMAÇÃO IND.</t>
  </si>
  <si>
    <t>Rua Bernardino Theodoro da Silva, 85 - Estoril, Belo Horizonte - MG, 30494-300</t>
  </si>
  <si>
    <t>Funerária Diamond</t>
  </si>
  <si>
    <t>A PARTIR DE COLETIVA R$600,00 / IND. R$890,00</t>
  </si>
  <si>
    <t>Av. Amintas Vidal Gomes, 1822 - Nova Gameleira, Belo Horizonte - MG, 30510-260</t>
  </si>
  <si>
    <t>Perpetuare Pet</t>
  </si>
  <si>
    <t>COLETIVO R$690,00 / IND. R$1100,00 / PREMIUM (VELORIO) R$1300,00</t>
  </si>
  <si>
    <t>R. Vinte e Quatro de Dezembro, 108 - Vila Dom Pedro II, São Paulo - SP, 02241-050</t>
  </si>
  <si>
    <t>RIP Pet - Funeral e Crematório de Animais - Santos</t>
  </si>
  <si>
    <t>IND. R$1490,00 / COLETIVA R$990,00</t>
  </si>
  <si>
    <t>Av. Cel. Joaquim Montenegro, 334 - Ponta da Praia, Santos - SP, 11035-002</t>
  </si>
  <si>
    <t>Pet Memorial - Crematório de Animais - Escritório e Vendas - São Paulo/SP</t>
  </si>
  <si>
    <t>IND. R$1500,00 / COLETIVA R$900,00</t>
  </si>
  <si>
    <t>Av. Brigadeiro Luís Antônio, 1041 - Bela Vista, São Paulo - SP, 01317-000</t>
  </si>
  <si>
    <t>R.I.P. PET CAMPINAS CREMATORIO DE ANIMAIS E SERVIÇOS FUNERARIOS PET</t>
  </si>
  <si>
    <t>IND. R$1490,00 / COLETIVA R$1090,00</t>
  </si>
  <si>
    <t>R. Dom Lino Deodato Rodrigues de Carvalho, 1187 - Jardim Proença, Campinas - SP, 13100-406</t>
  </si>
  <si>
    <t>Céu de Patas</t>
  </si>
  <si>
    <t>COLETIVA R$890,00 / IND. R$1240,00</t>
  </si>
  <si>
    <t>Av. Carlos Alladyr de Oliveira Larica, lote 07 - Quadra 08 - Jacuhy, Serra - ES, 29161-274</t>
  </si>
  <si>
    <t>Descanse Em Paz Pet</t>
  </si>
  <si>
    <t>COLETIVA R$400,00 / IND. R$450,00</t>
  </si>
  <si>
    <t>R. Elias Thomas, 244, Av. Boa Vista, 1, Serra - ES, 29161-026</t>
  </si>
  <si>
    <t>Cemitério de Animais Arca de Noé</t>
  </si>
  <si>
    <t>FUNERAL R$850,00 - MANUTENÇÃO R$80,00 ANUAL</t>
  </si>
  <si>
    <t>R. X D, 320 - Jardim Limoeiro, Serra - ES, 29164-064</t>
  </si>
  <si>
    <t>PetFênix Crematório de Animais - Unidade Bahia</t>
  </si>
  <si>
    <t>SIMÕES FILHO</t>
  </si>
  <si>
    <t xml:space="preserve">Cremação Imediata - R$ 1380,00 / IND. R$ 690,00 / Coletiva R$ 400,00
</t>
  </si>
  <si>
    <t>Dentro de Integração Galpões - R. Bela Vista, 582 - Galpão 12 - Nucleo Hab. Rubens Costa Cia I, Simões Filho - BA, 43700-000</t>
  </si>
  <si>
    <t>Bye Bye Pet Crematorio de Animais</t>
  </si>
  <si>
    <t>CREMAÇÃO COLETIVA R$200,00 / IND. R$460,00</t>
  </si>
  <si>
    <t>R. Col. Boa União, 6 - Catu de Abrantes, Camaçari - BA, 42840-000</t>
  </si>
  <si>
    <t>Pet Saudade Crematório de Animais</t>
  </si>
  <si>
    <t>LAURO DE FREITAS</t>
  </si>
  <si>
    <t>CREMAÇÃO COLETIVA R$330,00 / IND. R$650,00</t>
  </si>
  <si>
    <t>Rua Itiúba, nº 190 - Jardim Castelao, Lauro de Freitas - BA, 42721-100</t>
  </si>
  <si>
    <t>Pet For Life</t>
  </si>
  <si>
    <t>CREMAÇÃO COLETIVA R$300,00 / IND. R$450,00</t>
  </si>
  <si>
    <t>R. Sd. Luís Gonzaga das Vírgens, 111 - Stiep - Caminho das Árvores, Salvador - BA, 41820-560</t>
  </si>
  <si>
    <t>Hospedagem Pet Tia Ju Jacarepaguá</t>
  </si>
  <si>
    <t>R$60,00 PORTE PEQ. / R$80,00 MÉDIO / R$90,00 GRANDE</t>
  </si>
  <si>
    <t>R. Nacional, 410 - Taquara - Jacarepaguá, Rio de Janeiro - RJ, 22710-092</t>
  </si>
  <si>
    <t>Riopet Gávea - CRECHE</t>
  </si>
  <si>
    <t>A PARTIR R$150,00 DIARIA</t>
  </si>
  <si>
    <t>Estr. da Gávea, 25 - Gávea, Rio de Janeiro - RJ, 22451-262</t>
  </si>
  <si>
    <t>Adestrador de cães</t>
  </si>
  <si>
    <t>A PARTIR DE R$1000,00 - 10 AULAS</t>
  </si>
  <si>
    <t>R. Paulo Areal, 130 - Barra da Tijuca, Rio de Janeiro - RJ, 22793-245</t>
  </si>
  <si>
    <t xml:space="preserve">Bons Amigos Pet Hostel - HOSPEDAGEM </t>
  </si>
  <si>
    <t>R$ 140,00 | 180,00</t>
  </si>
  <si>
    <t>R. Aiko Maria, 60 - Eng. Luciano Cavalcante, Fortaleza - CE, 60811-251</t>
  </si>
  <si>
    <t xml:space="preserve">Bons Amigos Pet Hostel- CRECHE </t>
  </si>
  <si>
    <t>INTEGRAL R$1.000,00 | MEIO PERIODO R$650,00</t>
  </si>
  <si>
    <t>Club Pet Barra</t>
  </si>
  <si>
    <t>5521997250679 / 552134424141</t>
  </si>
  <si>
    <t>ATÉ 7 DIAS R$ 192,00</t>
  </si>
  <si>
    <t>Av. Vitor Konder, 44 - casa 2 - Barra da Tijuca, Rio de Janeiro - RJ, 22611-250</t>
  </si>
  <si>
    <t xml:space="preserve">Club Pet Leblon </t>
  </si>
  <si>
    <t xml:space="preserve"> Rua Tubira, 41</t>
  </si>
  <si>
    <t>Club Pet</t>
  </si>
  <si>
    <t xml:space="preserve">NITEROI </t>
  </si>
  <si>
    <t xml:space="preserve"> Av. Roberto Silveira 485</t>
  </si>
  <si>
    <t>Casa Pet</t>
  </si>
  <si>
    <t>ILHA BELA</t>
  </si>
  <si>
    <t>Rua Benedito Venceslau de Jesus, 360 - Água Branca, Ilhabela - SP, 11630-000</t>
  </si>
  <si>
    <t xml:space="preserve">Divercães Hotel e creche canina - Creche/Day use </t>
  </si>
  <si>
    <t>A PARTIR DE R$75,00</t>
  </si>
  <si>
    <t>R. Nossa Sra. de Lourdes, 12 - Tirol, Natal - RN, 59015-260</t>
  </si>
  <si>
    <t>Divercães Hotel e creche canina - Hospedagem</t>
  </si>
  <si>
    <t>DIARIA R$89,00</t>
  </si>
  <si>
    <t>Vivi Pets (hospedagem para cães)</t>
  </si>
  <si>
    <t>R. Alice Tôrres, 291 - Portinho, Cabo Frio - RJ, 28915-360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</si>
</sst>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9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sz val="13.0"/>
      <color rgb="FFFFFFFF"/>
      <name val="Arial"/>
    </font>
    <font>
      <b/>
      <color rgb="FFFFFFFF"/>
      <name val="Arial"/>
    </font>
    <font>
      <sz val="12.0"/>
      <color rgb="FF000000"/>
      <name val="Calibri"/>
      <scheme val="minor"/>
    </font>
    <font>
      <sz val="12.0"/>
      <color rgb="FF1F1F1F"/>
      <name val="Calibri"/>
      <scheme val="minor"/>
    </font>
    <font>
      <sz val="12.0"/>
      <color theme="1"/>
      <name val="Calibri"/>
      <scheme val="minor"/>
    </font>
    <font>
      <color rgb="FF5E5E5E"/>
      <name val="Roboto"/>
    </font>
    <font>
      <b/>
      <sz val="12.0"/>
      <color rgb="FF000000"/>
      <name val="Calibri"/>
      <scheme val="minor"/>
    </font>
    <font>
      <color theme="1"/>
      <name val="&quot;Google Sans&quot;"/>
    </font>
    <font>
      <color rgb="FF000000"/>
      <name val="&quot;Google Sans&quot;"/>
    </font>
    <font>
      <color rgb="FF000000"/>
      <name val="Calibri"/>
      <scheme val="minor"/>
    </font>
    <font>
      <color rgb="FF1F1F1F"/>
      <name val="&quot;Google Sans&quot;"/>
    </font>
    <font>
      <color rgb="FF000000"/>
      <name val="Roboto"/>
    </font>
    <font>
      <sz val="12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1" numFmtId="0" xfId="0" applyAlignment="1" applyBorder="1" applyFont="1">
      <alignment horizontal="center"/>
    </xf>
    <xf borderId="3" fillId="2" fontId="1" numFmtId="164" xfId="0" applyAlignment="1" applyBorder="1" applyFont="1" applyNumberFormat="1">
      <alignment horizontal="center"/>
    </xf>
    <xf borderId="1" fillId="3" fontId="1" numFmtId="0" xfId="0" applyAlignment="1" applyBorder="1" applyFill="1" applyFont="1">
      <alignment horizontal="center"/>
    </xf>
    <xf borderId="3" fillId="0" fontId="3" numFmtId="0" xfId="0" applyBorder="1" applyFont="1"/>
    <xf borderId="2" fillId="0" fontId="1" numFmtId="164" xfId="0" applyAlignment="1" applyBorder="1" applyFont="1" applyNumberForma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readingOrder="0"/>
    </xf>
    <xf borderId="0" fillId="0" fontId="4" numFmtId="0" xfId="0" applyFont="1"/>
    <xf borderId="3" fillId="0" fontId="3" numFmtId="0" xfId="0" applyAlignment="1" applyBorder="1" applyFont="1">
      <alignment horizontal="left" shrinkToFit="0" vertical="center" wrapText="1"/>
    </xf>
    <xf borderId="3" fillId="0" fontId="1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4" fillId="3" fontId="1" numFmtId="0" xfId="0" applyAlignment="1" applyBorder="1" applyFont="1">
      <alignment horizontal="center"/>
    </xf>
    <xf borderId="5" fillId="0" fontId="2" numFmtId="0" xfId="0" applyBorder="1" applyFont="1"/>
    <xf borderId="3" fillId="3" fontId="3" numFmtId="0" xfId="0" applyBorder="1" applyFont="1"/>
    <xf borderId="3" fillId="3" fontId="1" numFmtId="164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horizontal="center"/>
    </xf>
    <xf borderId="3" fillId="4" fontId="6" numFmtId="0" xfId="0" applyAlignment="1" applyBorder="1" applyFill="1" applyFont="1">
      <alignment horizontal="center"/>
    </xf>
    <xf borderId="3" fillId="4" fontId="6" numFmtId="164" xfId="0" applyAlignment="1" applyBorder="1" applyFont="1" applyNumberFormat="1">
      <alignment horizontal="center"/>
    </xf>
    <xf borderId="3" fillId="4" fontId="7" numFmtId="0" xfId="0" applyAlignment="1" applyBorder="1" applyFont="1">
      <alignment horizontal="center" readingOrder="0"/>
    </xf>
    <xf borderId="3" fillId="4" fontId="6" numFmtId="0" xfId="0" applyAlignment="1" applyBorder="1" applyFont="1">
      <alignment horizontal="left" readingOrder="0"/>
    </xf>
    <xf borderId="3" fillId="4" fontId="6" numFmtId="0" xfId="0" applyAlignment="1" applyBorder="1" applyFont="1">
      <alignment horizontal="left"/>
    </xf>
    <xf borderId="3" fillId="0" fontId="8" numFmtId="0" xfId="0" applyAlignment="1" applyBorder="1" applyFont="1">
      <alignment horizontal="left" readingOrder="0"/>
    </xf>
    <xf borderId="3" fillId="0" fontId="8" numFmtId="0" xfId="0" applyAlignment="1" applyBorder="1" applyFont="1">
      <alignment horizontal="center" readingOrder="0"/>
    </xf>
    <xf borderId="3" fillId="0" fontId="8" numFmtId="164" xfId="0" applyAlignment="1" applyBorder="1" applyFont="1" applyNumberFormat="1">
      <alignment horizontal="center" readingOrder="0"/>
    </xf>
    <xf borderId="3" fillId="5" fontId="8" numFmtId="0" xfId="0" applyAlignment="1" applyBorder="1" applyFill="1" applyFont="1">
      <alignment horizontal="left" readingOrder="0"/>
    </xf>
    <xf borderId="3" fillId="0" fontId="8" numFmtId="0" xfId="0" applyAlignment="1" applyBorder="1" applyFont="1">
      <alignment horizontal="center"/>
    </xf>
    <xf borderId="3" fillId="5" fontId="8" numFmtId="0" xfId="0" applyAlignment="1" applyBorder="1" applyFont="1">
      <alignment horizontal="left" readingOrder="0" shrinkToFit="0" vertical="bottom" wrapText="0"/>
    </xf>
    <xf borderId="3" fillId="0" fontId="8" numFmtId="0" xfId="0" applyAlignment="1" applyBorder="1" applyFont="1">
      <alignment horizontal="center" readingOrder="0" vertical="bottom"/>
    </xf>
    <xf borderId="3" fillId="0" fontId="8" numFmtId="164" xfId="0" applyAlignment="1" applyBorder="1" applyFont="1" applyNumberFormat="1">
      <alignment horizontal="center" readingOrder="0" vertical="bottom"/>
    </xf>
    <xf borderId="3" fillId="0" fontId="8" numFmtId="0" xfId="0" applyAlignment="1" applyBorder="1" applyFont="1">
      <alignment horizontal="left" readingOrder="0" vertical="bottom"/>
    </xf>
    <xf borderId="3" fillId="5" fontId="8" numFmtId="0" xfId="0" applyAlignment="1" applyBorder="1" applyFont="1">
      <alignment horizontal="left" readingOrder="0" vertical="bottom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left" vertical="bottom"/>
    </xf>
    <xf borderId="3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3" fillId="0" fontId="8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3" fillId="5" fontId="8" numFmtId="0" xfId="0" applyAlignment="1" applyBorder="1" applyFont="1">
      <alignment vertical="bottom"/>
    </xf>
    <xf borderId="3" fillId="0" fontId="9" numFmtId="0" xfId="0" applyAlignment="1" applyBorder="1" applyFont="1">
      <alignment horizontal="left" readingOrder="0"/>
    </xf>
    <xf borderId="0" fillId="0" fontId="8" numFmtId="0" xfId="0" applyFont="1"/>
    <xf borderId="3" fillId="5" fontId="9" numFmtId="0" xfId="0" applyAlignment="1" applyBorder="1" applyFont="1">
      <alignment horizontal="left" readingOrder="0"/>
    </xf>
    <xf borderId="3" fillId="0" fontId="8" numFmtId="0" xfId="0" applyAlignment="1" applyBorder="1" applyFont="1">
      <alignment horizontal="left"/>
    </xf>
    <xf borderId="3" fillId="5" fontId="8" numFmtId="0" xfId="0" applyAlignment="1" applyBorder="1" applyFont="1">
      <alignment readingOrder="0" shrinkToFit="0" wrapText="0"/>
    </xf>
    <xf borderId="0" fillId="0" fontId="10" numFmtId="0" xfId="0" applyFont="1"/>
    <xf borderId="3" fillId="5" fontId="8" numFmtId="0" xfId="0" applyAlignment="1" applyBorder="1" applyFont="1">
      <alignment readingOrder="0"/>
    </xf>
    <xf borderId="3" fillId="5" fontId="8" numFmtId="0" xfId="0" applyAlignment="1" applyBorder="1" applyFont="1">
      <alignment horizontal="center" readingOrder="0"/>
    </xf>
    <xf borderId="3" fillId="5" fontId="8" numFmtId="164" xfId="0" applyAlignment="1" applyBorder="1" applyFont="1" applyNumberFormat="1">
      <alignment horizontal="center" readingOrder="0"/>
    </xf>
    <xf borderId="3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left" readingOrder="0"/>
    </xf>
    <xf borderId="0" fillId="0" fontId="8" numFmtId="0" xfId="0" applyAlignment="1" applyFont="1">
      <alignment horizontal="center" readingOrder="0"/>
    </xf>
    <xf borderId="0" fillId="5" fontId="11" numFmtId="0" xfId="0" applyAlignment="1" applyFont="1">
      <alignment horizontal="left"/>
    </xf>
    <xf borderId="3" fillId="0" fontId="4" numFmtId="0" xfId="0" applyAlignment="1" applyBorder="1" applyFont="1">
      <alignment horizontal="center" readingOrder="0"/>
    </xf>
    <xf borderId="3" fillId="0" fontId="4" numFmtId="164" xfId="0" applyAlignment="1" applyBorder="1" applyFont="1" applyNumberFormat="1">
      <alignment horizontal="center" readingOrder="0"/>
    </xf>
    <xf borderId="3" fillId="0" fontId="4" numFmtId="0" xfId="0" applyAlignment="1" applyBorder="1" applyFont="1">
      <alignment horizontal="left"/>
    </xf>
    <xf borderId="0" fillId="5" fontId="8" numFmtId="0" xfId="0" applyAlignment="1" applyFont="1">
      <alignment horizontal="center" readingOrder="0"/>
    </xf>
    <xf borderId="0" fillId="5" fontId="8" numFmtId="0" xfId="0" applyAlignment="1" applyFont="1">
      <alignment horizontal="left" readingOrder="0"/>
    </xf>
    <xf borderId="3" fillId="0" fontId="4" numFmtId="0" xfId="0" applyAlignment="1" applyBorder="1" applyFont="1">
      <alignment horizontal="center"/>
    </xf>
    <xf borderId="3" fillId="0" fontId="4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3" fillId="4" fontId="6" numFmtId="0" xfId="0" applyAlignment="1" applyBorder="1" applyFont="1">
      <alignment horizontal="center" vertical="center"/>
    </xf>
    <xf borderId="3" fillId="4" fontId="6" numFmtId="164" xfId="0" applyAlignment="1" applyBorder="1" applyFont="1" applyNumberFormat="1">
      <alignment horizontal="center" vertical="center"/>
    </xf>
    <xf borderId="3" fillId="4" fontId="7" numFmtId="0" xfId="0" applyAlignment="1" applyBorder="1" applyFont="1">
      <alignment horizontal="center" readingOrder="0" vertical="center"/>
    </xf>
    <xf borderId="3" fillId="4" fontId="6" numFmtId="0" xfId="0" applyAlignment="1" applyBorder="1" applyFont="1">
      <alignment horizontal="left" readingOrder="0" vertical="center"/>
    </xf>
    <xf borderId="3" fillId="5" fontId="8" numFmtId="0" xfId="0" applyAlignment="1" applyBorder="1" applyFont="1">
      <alignment horizontal="left" readingOrder="0"/>
    </xf>
    <xf borderId="3" fillId="0" fontId="8" numFmtId="0" xfId="0" applyAlignment="1" applyBorder="1" applyFont="1">
      <alignment readingOrder="0"/>
    </xf>
    <xf borderId="3" fillId="0" fontId="8" numFmtId="0" xfId="0" applyAlignment="1" applyBorder="1" applyFont="1">
      <alignment horizontal="lef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bottom" wrapText="1"/>
    </xf>
    <xf borderId="0" fillId="0" fontId="8" numFmtId="0" xfId="0" applyAlignment="1" applyFont="1">
      <alignment horizontal="center"/>
    </xf>
    <xf borderId="3" fillId="0" fontId="8" numFmtId="0" xfId="0" applyBorder="1" applyFont="1"/>
    <xf borderId="3" fillId="0" fontId="12" numFmtId="0" xfId="0" applyAlignment="1" applyBorder="1" applyFont="1">
      <alignment horizontal="left" readingOrder="0"/>
    </xf>
    <xf borderId="3" fillId="0" fontId="10" numFmtId="0" xfId="0" applyAlignment="1" applyBorder="1" applyFont="1">
      <alignment horizontal="center" readingOrder="0" vertical="bottom"/>
    </xf>
    <xf borderId="3" fillId="0" fontId="13" numFmtId="0" xfId="0" applyAlignment="1" applyBorder="1" applyFont="1">
      <alignment horizontal="left" readingOrder="0"/>
    </xf>
    <xf borderId="3" fillId="5" fontId="10" numFmtId="0" xfId="0" applyAlignment="1" applyBorder="1" applyFont="1">
      <alignment horizontal="left" readingOrder="0"/>
    </xf>
    <xf borderId="3" fillId="5" fontId="12" numFmtId="0" xfId="0" applyAlignment="1" applyBorder="1" applyFont="1">
      <alignment horizontal="left" readingOrder="0"/>
    </xf>
    <xf borderId="3" fillId="0" fontId="14" numFmtId="0" xfId="0" applyAlignment="1" applyBorder="1" applyFont="1">
      <alignment horizontal="left" readingOrder="0"/>
    </xf>
    <xf borderId="0" fillId="5" fontId="10" numFmtId="0" xfId="0" applyAlignment="1" applyFont="1">
      <alignment horizontal="left" readingOrder="0"/>
    </xf>
    <xf borderId="0" fillId="5" fontId="10" numFmtId="0" xfId="0" applyAlignment="1" applyFont="1">
      <alignment horizontal="center" readingOrder="0"/>
    </xf>
    <xf borderId="3" fillId="0" fontId="10" numFmtId="164" xfId="0" applyAlignment="1" applyBorder="1" applyFont="1" applyNumberFormat="1">
      <alignment horizontal="center" readingOrder="0"/>
    </xf>
    <xf borderId="3" fillId="5" fontId="8" numFmtId="0" xfId="0" applyAlignment="1" applyBorder="1" applyFont="1">
      <alignment horizontal="left"/>
    </xf>
    <xf borderId="3" fillId="0" fontId="8" numFmtId="164" xfId="0" applyAlignment="1" applyBorder="1" applyFont="1" applyNumberFormat="1">
      <alignment horizontal="center"/>
    </xf>
    <xf borderId="3" fillId="5" fontId="8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vertical="bottom"/>
    </xf>
    <xf borderId="3" fillId="0" fontId="10" numFmtId="164" xfId="0" applyAlignment="1" applyBorder="1" applyFont="1" applyNumberFormat="1">
      <alignment horizontal="center" vertical="bottom"/>
    </xf>
    <xf borderId="3" fillId="0" fontId="10" numFmtId="0" xfId="0" applyAlignment="1" applyBorder="1" applyFont="1">
      <alignment readingOrder="0" vertical="bottom"/>
    </xf>
    <xf borderId="3" fillId="0" fontId="10" numFmtId="0" xfId="0" applyAlignment="1" applyBorder="1" applyFont="1">
      <alignment horizontal="center" vertical="bottom"/>
    </xf>
    <xf borderId="3" fillId="0" fontId="10" numFmtId="164" xfId="0" applyAlignment="1" applyBorder="1" applyFont="1" applyNumberFormat="1">
      <alignment horizontal="center" readingOrder="0" vertical="bottom"/>
    </xf>
    <xf borderId="3" fillId="0" fontId="10" numFmtId="0" xfId="0" applyAlignment="1" applyBorder="1" applyFont="1">
      <alignment horizontal="left" vertical="bottom"/>
    </xf>
    <xf borderId="3" fillId="0" fontId="15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center" readingOrder="0" vertical="bottom"/>
    </xf>
    <xf borderId="3" fillId="0" fontId="15" numFmtId="164" xfId="0" applyAlignment="1" applyBorder="1" applyFont="1" applyNumberFormat="1">
      <alignment horizontal="center" readingOrder="0" vertical="bottom"/>
    </xf>
    <xf borderId="3" fillId="0" fontId="15" numFmtId="0" xfId="0" applyAlignment="1" applyBorder="1" applyFont="1">
      <alignment horizontal="left" readingOrder="0" vertical="bottom"/>
    </xf>
    <xf borderId="3" fillId="0" fontId="16" numFmtId="0" xfId="0" applyAlignment="1" applyBorder="1" applyFont="1">
      <alignment horizontal="left" readingOrder="0"/>
    </xf>
    <xf borderId="3" fillId="5" fontId="14" numFmtId="0" xfId="0" applyAlignment="1" applyBorder="1" applyFont="1">
      <alignment horizontal="left" readingOrder="0"/>
    </xf>
    <xf borderId="3" fillId="5" fontId="17" numFmtId="0" xfId="0" applyAlignment="1" applyBorder="1" applyFont="1">
      <alignment horizontal="left" readingOrder="0"/>
    </xf>
    <xf borderId="3" fillId="0" fontId="15" numFmtId="0" xfId="0" applyAlignment="1" applyBorder="1" applyFont="1">
      <alignment horizontal="center" vertical="bottom"/>
    </xf>
    <xf borderId="3" fillId="0" fontId="15" numFmtId="164" xfId="0" applyAlignment="1" applyBorder="1" applyFont="1" applyNumberFormat="1">
      <alignment horizontal="center" vertical="bottom"/>
    </xf>
    <xf borderId="3" fillId="0" fontId="15" numFmtId="0" xfId="0" applyAlignment="1" applyBorder="1" applyFont="1">
      <alignment horizontal="left" vertical="bottom"/>
    </xf>
    <xf borderId="0" fillId="0" fontId="8" numFmtId="0" xfId="0" applyAlignment="1" applyFont="1">
      <alignment horizontal="left" readingOrder="0"/>
    </xf>
    <xf borderId="3" fillId="5" fontId="15" numFmtId="0" xfId="0" applyAlignment="1" applyBorder="1" applyFont="1">
      <alignment horizontal="left" readingOrder="0"/>
    </xf>
    <xf borderId="3" fillId="0" fontId="4" numFmtId="0" xfId="0" applyBorder="1" applyFont="1"/>
    <xf borderId="0" fillId="5" fontId="18" numFmtId="0" xfId="0" applyAlignment="1" applyFont="1">
      <alignment horizontal="left" readingOrder="0"/>
    </xf>
    <xf borderId="3" fillId="0" fontId="8" numFmtId="0" xfId="0" applyAlignment="1" applyBorder="1" applyFont="1">
      <alignment horizontal="left" vertical="bottom"/>
    </xf>
    <xf borderId="3" fillId="0" fontId="8" numFmtId="0" xfId="0" applyAlignment="1" applyBorder="1" applyFont="1">
      <alignment horizontal="center" readingOrder="0"/>
    </xf>
    <xf borderId="0" fillId="5" fontId="11" numFmtId="0" xfId="0" applyAlignment="1" applyFont="1">
      <alignment horizontal="left"/>
    </xf>
    <xf borderId="3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7.14"/>
    <col customWidth="1" min="2" max="2" width="35.29"/>
    <col customWidth="1" min="3" max="26" width="11.0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5" t="s">
        <v>3</v>
      </c>
      <c r="B3" s="2"/>
    </row>
    <row r="4" ht="15.75" customHeight="1">
      <c r="A4" s="6" t="s">
        <v>4</v>
      </c>
      <c r="B4" s="7" t="s">
        <v>5</v>
      </c>
    </row>
    <row r="5" ht="15.75" customHeight="1">
      <c r="A5" s="6" t="s">
        <v>6</v>
      </c>
      <c r="B5" s="8" t="s">
        <v>7</v>
      </c>
    </row>
    <row r="6" ht="15.75" customHeight="1">
      <c r="A6" s="6" t="s">
        <v>8</v>
      </c>
      <c r="B6" s="8" t="s">
        <v>9</v>
      </c>
    </row>
    <row r="7" ht="15.75" customHeight="1">
      <c r="A7" s="6" t="s">
        <v>10</v>
      </c>
      <c r="B7" s="8" t="s">
        <v>11</v>
      </c>
    </row>
    <row r="8" ht="15.75" customHeight="1">
      <c r="A8" s="6" t="s">
        <v>12</v>
      </c>
      <c r="B8" s="8" t="s">
        <v>13</v>
      </c>
    </row>
    <row r="9" ht="15.75" customHeight="1">
      <c r="A9" s="6" t="s">
        <v>14</v>
      </c>
      <c r="B9" s="8" t="s">
        <v>15</v>
      </c>
    </row>
    <row r="10" ht="15.75" customHeight="1">
      <c r="A10" s="6" t="s">
        <v>16</v>
      </c>
      <c r="B10" s="8" t="s">
        <v>17</v>
      </c>
    </row>
    <row r="11" ht="15.75" customHeight="1">
      <c r="A11" s="6" t="s">
        <v>18</v>
      </c>
      <c r="B11" s="8" t="s">
        <v>19</v>
      </c>
    </row>
    <row r="12" ht="15.75" customHeight="1">
      <c r="A12" s="9" t="s">
        <v>20</v>
      </c>
      <c r="B12" s="8" t="s">
        <v>21</v>
      </c>
    </row>
    <row r="13" ht="15.75" customHeight="1">
      <c r="A13" s="6" t="s">
        <v>22</v>
      </c>
      <c r="B13" s="8" t="s">
        <v>21</v>
      </c>
    </row>
    <row r="14" ht="15.75" customHeight="1">
      <c r="A14" s="6" t="s">
        <v>23</v>
      </c>
      <c r="B14" s="8" t="s">
        <v>21</v>
      </c>
    </row>
    <row r="15" ht="15.75" customHeight="1">
      <c r="A15" s="6" t="s">
        <v>24</v>
      </c>
      <c r="B15" s="8" t="s">
        <v>25</v>
      </c>
    </row>
    <row r="16" ht="15.75" customHeight="1">
      <c r="A16" s="6" t="s">
        <v>26</v>
      </c>
      <c r="B16" s="8" t="s">
        <v>27</v>
      </c>
    </row>
    <row r="17" ht="15.75" customHeight="1">
      <c r="A17" s="6" t="s">
        <v>28</v>
      </c>
      <c r="B17" s="8" t="s">
        <v>29</v>
      </c>
    </row>
    <row r="18" ht="15.75" customHeight="1">
      <c r="A18" s="6" t="s">
        <v>30</v>
      </c>
      <c r="B18" s="8" t="s">
        <v>31</v>
      </c>
    </row>
    <row r="19" ht="15.75" customHeight="1">
      <c r="A19" s="6" t="s">
        <v>32</v>
      </c>
      <c r="B19" s="8" t="s">
        <v>33</v>
      </c>
    </row>
    <row r="20" ht="15.75" customHeight="1">
      <c r="A20" s="6" t="s">
        <v>34</v>
      </c>
      <c r="B20" s="8" t="s">
        <v>33</v>
      </c>
    </row>
    <row r="21" ht="15.75" customHeight="1">
      <c r="A21" s="6" t="s">
        <v>35</v>
      </c>
      <c r="B21" s="8" t="s">
        <v>33</v>
      </c>
    </row>
    <row r="22" ht="15.75" customHeight="1">
      <c r="A22" s="6" t="s">
        <v>36</v>
      </c>
      <c r="B22" s="8" t="s">
        <v>37</v>
      </c>
    </row>
    <row r="23" ht="15.75" customHeight="1">
      <c r="A23" s="6" t="s">
        <v>38</v>
      </c>
      <c r="B23" s="8" t="s">
        <v>19</v>
      </c>
    </row>
    <row r="24" ht="15.75" customHeight="1">
      <c r="A24" s="6" t="s">
        <v>39</v>
      </c>
      <c r="B24" s="8" t="s">
        <v>37</v>
      </c>
    </row>
    <row r="25" ht="15.75" customHeight="1">
      <c r="A25" s="5" t="s">
        <v>40</v>
      </c>
      <c r="B25" s="2"/>
    </row>
    <row r="26" ht="15.75" customHeight="1">
      <c r="A26" s="10" t="s">
        <v>41</v>
      </c>
      <c r="B26" s="8" t="s">
        <v>42</v>
      </c>
    </row>
    <row r="27" ht="15.75" customHeight="1">
      <c r="A27" s="11" t="s">
        <v>43</v>
      </c>
      <c r="B27" s="12" t="s">
        <v>44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1" t="s">
        <v>45</v>
      </c>
      <c r="B28" s="8" t="s">
        <v>42</v>
      </c>
    </row>
    <row r="29" ht="15.75" customHeight="1">
      <c r="A29" s="11" t="s">
        <v>46</v>
      </c>
      <c r="B29" s="12" t="s">
        <v>47</v>
      </c>
    </row>
    <row r="30" ht="15.75" customHeight="1">
      <c r="A30" s="6" t="s">
        <v>48</v>
      </c>
      <c r="B30" s="8" t="s">
        <v>49</v>
      </c>
    </row>
    <row r="31" ht="15.75" customHeight="1">
      <c r="A31" s="6" t="s">
        <v>50</v>
      </c>
      <c r="B31" s="8" t="s">
        <v>51</v>
      </c>
    </row>
    <row r="32" ht="15.75" customHeight="1">
      <c r="A32" s="6" t="s">
        <v>52</v>
      </c>
      <c r="B32" s="8" t="s">
        <v>53</v>
      </c>
    </row>
    <row r="33" ht="15.75" customHeight="1">
      <c r="A33" s="6" t="s">
        <v>54</v>
      </c>
      <c r="B33" s="8" t="s">
        <v>55</v>
      </c>
    </row>
    <row r="34" ht="15.75" customHeight="1">
      <c r="A34" s="6" t="s">
        <v>56</v>
      </c>
      <c r="B34" s="8" t="s">
        <v>57</v>
      </c>
    </row>
    <row r="35" ht="15.75" customHeight="1">
      <c r="A35" s="6" t="s">
        <v>58</v>
      </c>
      <c r="B35" s="8" t="s">
        <v>51</v>
      </c>
    </row>
    <row r="36" ht="15.75" customHeight="1">
      <c r="A36" s="6" t="s">
        <v>59</v>
      </c>
      <c r="B36" s="8" t="s">
        <v>51</v>
      </c>
    </row>
    <row r="37" ht="15.75" customHeight="1">
      <c r="A37" s="6" t="s">
        <v>60</v>
      </c>
      <c r="B37" s="8" t="s">
        <v>5</v>
      </c>
    </row>
    <row r="38" ht="15.75" customHeight="1">
      <c r="A38" s="6" t="s">
        <v>61</v>
      </c>
      <c r="B38" s="8" t="s">
        <v>62</v>
      </c>
    </row>
    <row r="39" ht="15.75" customHeight="1">
      <c r="A39" s="6" t="s">
        <v>63</v>
      </c>
      <c r="B39" s="8" t="s">
        <v>64</v>
      </c>
    </row>
    <row r="40" ht="15.75" customHeight="1">
      <c r="A40" s="6" t="s">
        <v>65</v>
      </c>
      <c r="B40" s="8" t="s">
        <v>5</v>
      </c>
    </row>
    <row r="41" ht="15.75" customHeight="1">
      <c r="A41" s="6" t="s">
        <v>66</v>
      </c>
      <c r="B41" s="8" t="s">
        <v>67</v>
      </c>
    </row>
    <row r="42" ht="15.75" customHeight="1">
      <c r="A42" s="6" t="s">
        <v>68</v>
      </c>
      <c r="B42" s="8" t="s">
        <v>69</v>
      </c>
    </row>
    <row r="43" ht="15.75" customHeight="1">
      <c r="A43" s="6" t="s">
        <v>70</v>
      </c>
      <c r="B43" s="8">
        <v>50.0</v>
      </c>
    </row>
    <row r="44" ht="15.75" customHeight="1">
      <c r="A44" s="6" t="s">
        <v>71</v>
      </c>
      <c r="B44" s="8" t="s">
        <v>72</v>
      </c>
    </row>
    <row r="45" ht="15.75" customHeight="1">
      <c r="A45" s="6" t="s">
        <v>73</v>
      </c>
      <c r="B45" s="8" t="s">
        <v>37</v>
      </c>
    </row>
    <row r="46" ht="15.75" customHeight="1">
      <c r="A46" s="6" t="s">
        <v>74</v>
      </c>
      <c r="B46" s="8" t="s">
        <v>75</v>
      </c>
    </row>
    <row r="47" ht="15.75" customHeight="1">
      <c r="A47" s="6" t="s">
        <v>76</v>
      </c>
      <c r="B47" s="8">
        <v>50.0</v>
      </c>
    </row>
    <row r="48" ht="15.75" customHeight="1">
      <c r="A48" s="6" t="s">
        <v>77</v>
      </c>
      <c r="B48" s="8">
        <v>50.0</v>
      </c>
    </row>
    <row r="49" ht="15.75" customHeight="1">
      <c r="A49" s="5" t="s">
        <v>78</v>
      </c>
      <c r="B49" s="2"/>
    </row>
    <row r="50" ht="15.75" customHeight="1">
      <c r="A50" s="6" t="s">
        <v>79</v>
      </c>
      <c r="B50" s="8" t="s">
        <v>80</v>
      </c>
    </row>
    <row r="51" ht="15.75" customHeight="1">
      <c r="A51" s="6" t="s">
        <v>81</v>
      </c>
      <c r="B51" s="8" t="s">
        <v>82</v>
      </c>
    </row>
    <row r="52" ht="15.75" customHeight="1">
      <c r="A52" s="6" t="s">
        <v>83</v>
      </c>
      <c r="B52" s="8" t="s">
        <v>51</v>
      </c>
    </row>
    <row r="53" ht="15.75" customHeight="1">
      <c r="A53" s="6" t="s">
        <v>84</v>
      </c>
      <c r="B53" s="8" t="s">
        <v>85</v>
      </c>
    </row>
    <row r="54" ht="15.75" customHeight="1">
      <c r="A54" s="6" t="s">
        <v>86</v>
      </c>
      <c r="B54" s="8" t="s">
        <v>87</v>
      </c>
    </row>
    <row r="55" ht="15.75" customHeight="1">
      <c r="A55" s="6" t="s">
        <v>88</v>
      </c>
      <c r="B55" s="8">
        <v>25.0</v>
      </c>
    </row>
    <row r="56" ht="15.75" customHeight="1">
      <c r="A56" s="6" t="s">
        <v>89</v>
      </c>
      <c r="B56" s="8">
        <v>133.0</v>
      </c>
    </row>
    <row r="57" ht="15.75" customHeight="1">
      <c r="A57" s="6" t="s">
        <v>90</v>
      </c>
      <c r="B57" s="8">
        <v>118.0</v>
      </c>
    </row>
    <row r="58" ht="15.75" customHeight="1">
      <c r="A58" s="6" t="s">
        <v>91</v>
      </c>
      <c r="B58" s="8">
        <v>25.0</v>
      </c>
    </row>
    <row r="59" ht="15.75" customHeight="1">
      <c r="A59" s="6" t="s">
        <v>92</v>
      </c>
      <c r="B59" s="8">
        <v>35.0</v>
      </c>
    </row>
    <row r="60" ht="15.75" customHeight="1">
      <c r="A60" s="6" t="s">
        <v>93</v>
      </c>
      <c r="B60" s="8">
        <v>80.0</v>
      </c>
    </row>
    <row r="61" ht="15.75" customHeight="1">
      <c r="A61" s="6" t="s">
        <v>94</v>
      </c>
      <c r="B61" s="8">
        <v>36.0</v>
      </c>
    </row>
    <row r="62" ht="15.75" customHeight="1">
      <c r="A62" s="6" t="s">
        <v>95</v>
      </c>
      <c r="B62" s="8">
        <v>50.0</v>
      </c>
    </row>
    <row r="63" ht="15.75" customHeight="1">
      <c r="A63" s="6" t="s">
        <v>96</v>
      </c>
      <c r="B63" s="8">
        <v>40.0</v>
      </c>
    </row>
    <row r="64" ht="15.75" customHeight="1">
      <c r="A64" s="6" t="s">
        <v>97</v>
      </c>
      <c r="B64" s="8">
        <v>30.0</v>
      </c>
    </row>
    <row r="65" ht="15.75" customHeight="1">
      <c r="A65" s="14" t="s">
        <v>98</v>
      </c>
      <c r="B65" s="15"/>
    </row>
    <row r="66" ht="15.75" customHeight="1">
      <c r="A66" s="6" t="s">
        <v>99</v>
      </c>
      <c r="B66" s="8" t="s">
        <v>62</v>
      </c>
    </row>
    <row r="67" ht="15.75" customHeight="1">
      <c r="A67" s="6" t="s">
        <v>100</v>
      </c>
      <c r="B67" s="8" t="s">
        <v>62</v>
      </c>
    </row>
    <row r="68" ht="15.75" customHeight="1">
      <c r="A68" s="6" t="s">
        <v>101</v>
      </c>
      <c r="B68" s="8" t="s">
        <v>102</v>
      </c>
    </row>
    <row r="69" ht="15.75" customHeight="1">
      <c r="A69" s="6" t="s">
        <v>103</v>
      </c>
      <c r="B69" s="8" t="s">
        <v>102</v>
      </c>
    </row>
    <row r="70" ht="15.75" customHeight="1">
      <c r="A70" s="6" t="s">
        <v>104</v>
      </c>
      <c r="B70" s="8" t="s">
        <v>62</v>
      </c>
    </row>
    <row r="71" ht="15.75" customHeight="1">
      <c r="A71" s="6" t="s">
        <v>105</v>
      </c>
      <c r="B71" s="8" t="s">
        <v>106</v>
      </c>
    </row>
    <row r="72" ht="15.75" customHeight="1">
      <c r="A72" s="6" t="s">
        <v>107</v>
      </c>
      <c r="B72" s="8" t="s">
        <v>108</v>
      </c>
    </row>
    <row r="73" ht="15.75" customHeight="1">
      <c r="A73" s="6" t="s">
        <v>109</v>
      </c>
      <c r="B73" s="8" t="s">
        <v>110</v>
      </c>
    </row>
    <row r="74" ht="15.75" customHeight="1">
      <c r="A74" s="6" t="s">
        <v>111</v>
      </c>
      <c r="B74" s="8" t="s">
        <v>11</v>
      </c>
    </row>
    <row r="75" ht="15.75" customHeight="1">
      <c r="A75" s="6" t="s">
        <v>112</v>
      </c>
      <c r="B75" s="8" t="s">
        <v>113</v>
      </c>
    </row>
    <row r="76" ht="15.75" customHeight="1">
      <c r="A76" s="6" t="s">
        <v>114</v>
      </c>
      <c r="B76" s="8" t="s">
        <v>115</v>
      </c>
    </row>
    <row r="77" ht="15.75" customHeight="1">
      <c r="A77" s="6" t="s">
        <v>116</v>
      </c>
      <c r="B77" s="8" t="s">
        <v>5</v>
      </c>
    </row>
    <row r="78" ht="15.75" customHeight="1">
      <c r="A78" s="5" t="s">
        <v>117</v>
      </c>
      <c r="B78" s="2"/>
    </row>
    <row r="79" ht="15.75" customHeight="1">
      <c r="A79" s="6" t="s">
        <v>118</v>
      </c>
      <c r="B79" s="8" t="s">
        <v>119</v>
      </c>
    </row>
    <row r="80" ht="15.75" customHeight="1">
      <c r="A80" s="6" t="s">
        <v>120</v>
      </c>
      <c r="B80" s="8" t="s">
        <v>121</v>
      </c>
    </row>
    <row r="81" ht="15.75" customHeight="1">
      <c r="A81" s="6" t="s">
        <v>122</v>
      </c>
      <c r="B81" s="8" t="s">
        <v>123</v>
      </c>
    </row>
    <row r="82" ht="15.75" customHeight="1">
      <c r="A82" s="6" t="s">
        <v>124</v>
      </c>
      <c r="B82" s="8" t="s">
        <v>125</v>
      </c>
    </row>
    <row r="83" ht="15.75" customHeight="1">
      <c r="A83" s="16"/>
      <c r="B83" s="17"/>
    </row>
    <row r="84" ht="15.75" customHeight="1">
      <c r="A84" s="6" t="s">
        <v>126</v>
      </c>
      <c r="B84" s="8" t="s">
        <v>127</v>
      </c>
    </row>
    <row r="85" ht="15.75" customHeight="1">
      <c r="A85" s="6" t="s">
        <v>128</v>
      </c>
      <c r="B85" s="8" t="s">
        <v>129</v>
      </c>
      <c r="C85" s="18"/>
    </row>
    <row r="86" ht="15.75" customHeight="1">
      <c r="A86" s="6" t="s">
        <v>130</v>
      </c>
      <c r="B86" s="8" t="s">
        <v>131</v>
      </c>
    </row>
    <row r="87" ht="15.75" customHeight="1">
      <c r="A87" s="6" t="s">
        <v>132</v>
      </c>
      <c r="B87" s="8" t="s">
        <v>133</v>
      </c>
    </row>
    <row r="88" ht="15.75" customHeight="1">
      <c r="A88" s="6" t="s">
        <v>134</v>
      </c>
      <c r="B88" s="8" t="s">
        <v>135</v>
      </c>
    </row>
    <row r="89" ht="15.75" customHeight="1">
      <c r="A89" s="6" t="s">
        <v>136</v>
      </c>
      <c r="B89" s="8" t="s">
        <v>135</v>
      </c>
    </row>
    <row r="90" ht="15.75" customHeight="1">
      <c r="A90" s="6" t="s">
        <v>137</v>
      </c>
      <c r="B90" s="8" t="s">
        <v>138</v>
      </c>
    </row>
    <row r="91" ht="15.75" customHeight="1">
      <c r="A91" s="6" t="s">
        <v>139</v>
      </c>
      <c r="B91" s="8" t="s">
        <v>138</v>
      </c>
    </row>
    <row r="92" ht="15.75" customHeight="1">
      <c r="B92" s="19"/>
    </row>
    <row r="93" ht="15.75" customHeight="1">
      <c r="B93" s="19"/>
    </row>
    <row r="94" ht="15.75" customHeight="1">
      <c r="B94" s="19"/>
    </row>
    <row r="95" ht="15.75" customHeight="1">
      <c r="B95" s="19"/>
    </row>
    <row r="96" ht="15.75" customHeight="1">
      <c r="B96" s="19"/>
    </row>
    <row r="97" ht="15.75" customHeight="1">
      <c r="B97" s="19"/>
    </row>
    <row r="98" ht="15.75" customHeight="1">
      <c r="B98" s="19"/>
    </row>
    <row r="99" ht="15.75" customHeight="1">
      <c r="B99" s="19"/>
    </row>
    <row r="100" ht="15.75" customHeight="1">
      <c r="B100" s="19"/>
    </row>
    <row r="101" ht="15.75" customHeight="1">
      <c r="B101" s="19"/>
    </row>
    <row r="102" ht="15.75" customHeight="1">
      <c r="B102" s="19"/>
    </row>
    <row r="103" ht="15.75" customHeight="1">
      <c r="B103" s="19"/>
    </row>
    <row r="104" ht="15.75" customHeight="1">
      <c r="B104" s="19"/>
    </row>
    <row r="105" ht="15.75" customHeight="1">
      <c r="B105" s="19"/>
    </row>
    <row r="106" ht="15.75" customHeight="1">
      <c r="B106" s="19"/>
    </row>
    <row r="107" ht="15.75" customHeight="1">
      <c r="B107" s="19"/>
    </row>
    <row r="108" ht="15.75" customHeight="1">
      <c r="B108" s="19"/>
    </row>
    <row r="109" ht="15.75" customHeight="1">
      <c r="B109" s="19"/>
    </row>
    <row r="110" ht="15.75" customHeight="1">
      <c r="B110" s="19"/>
    </row>
    <row r="111" ht="15.75" customHeight="1">
      <c r="B111" s="19"/>
    </row>
    <row r="112" ht="15.75" customHeight="1">
      <c r="B112" s="19"/>
    </row>
    <row r="113" ht="15.75" customHeight="1">
      <c r="B113" s="19"/>
    </row>
    <row r="114" ht="15.75" customHeight="1">
      <c r="B114" s="19"/>
    </row>
    <row r="115" ht="15.75" customHeight="1">
      <c r="B115" s="19"/>
    </row>
    <row r="116" ht="15.75" customHeight="1">
      <c r="B116" s="19"/>
    </row>
    <row r="117" ht="15.75" customHeight="1">
      <c r="B117" s="19"/>
    </row>
    <row r="118" ht="15.75" customHeight="1">
      <c r="B118" s="19"/>
    </row>
    <row r="119" ht="15.75" customHeight="1">
      <c r="B119" s="19"/>
    </row>
    <row r="120" ht="15.75" customHeight="1">
      <c r="B120" s="19"/>
    </row>
    <row r="121" ht="15.75" customHeight="1">
      <c r="B121" s="19"/>
    </row>
    <row r="122" ht="15.75" customHeight="1">
      <c r="B122" s="19"/>
    </row>
    <row r="123" ht="15.75" customHeight="1">
      <c r="B123" s="19"/>
    </row>
    <row r="124" ht="15.75" customHeight="1">
      <c r="B124" s="19"/>
    </row>
    <row r="125" ht="15.75" customHeight="1">
      <c r="B125" s="19"/>
    </row>
    <row r="126" ht="15.75" customHeight="1">
      <c r="B126" s="19"/>
    </row>
    <row r="127" ht="15.75" customHeight="1">
      <c r="B127" s="19"/>
    </row>
    <row r="128" ht="15.75" customHeight="1">
      <c r="B128" s="19"/>
    </row>
    <row r="129" ht="15.75" customHeight="1">
      <c r="B129" s="19"/>
    </row>
    <row r="130" ht="15.75" customHeight="1">
      <c r="B130" s="19"/>
    </row>
    <row r="131" ht="15.75" customHeight="1">
      <c r="B131" s="19"/>
    </row>
    <row r="132" ht="15.75" customHeight="1">
      <c r="B132" s="19"/>
    </row>
    <row r="133" ht="15.75" customHeight="1">
      <c r="B133" s="19"/>
    </row>
    <row r="134" ht="15.75" customHeight="1">
      <c r="B134" s="19"/>
    </row>
    <row r="135" ht="15.75" customHeight="1">
      <c r="B135" s="19"/>
    </row>
    <row r="136" ht="15.75" customHeight="1">
      <c r="B136" s="19"/>
    </row>
    <row r="137" ht="15.75" customHeight="1">
      <c r="B137" s="19"/>
    </row>
    <row r="138" ht="15.75" customHeight="1">
      <c r="B138" s="19"/>
    </row>
    <row r="139" ht="15.75" customHeight="1">
      <c r="B139" s="19"/>
    </row>
    <row r="140" ht="15.75" customHeight="1">
      <c r="B140" s="19"/>
    </row>
    <row r="141" ht="15.75" customHeight="1">
      <c r="B141" s="19"/>
    </row>
    <row r="142" ht="15.75" customHeight="1">
      <c r="B142" s="19"/>
    </row>
    <row r="143" ht="15.75" customHeight="1">
      <c r="B143" s="19"/>
    </row>
    <row r="144" ht="15.75" customHeight="1">
      <c r="B144" s="19"/>
    </row>
    <row r="145" ht="15.75" customHeight="1">
      <c r="B145" s="19"/>
    </row>
    <row r="146" ht="15.75" customHeight="1">
      <c r="B146" s="19"/>
    </row>
    <row r="147" ht="15.75" customHeight="1">
      <c r="B147" s="19"/>
    </row>
    <row r="148" ht="15.75" customHeight="1">
      <c r="B148" s="19"/>
    </row>
    <row r="149" ht="15.75" customHeight="1">
      <c r="B149" s="19"/>
    </row>
    <row r="150" ht="15.75" customHeight="1">
      <c r="B150" s="19"/>
    </row>
    <row r="151" ht="15.75" customHeight="1">
      <c r="B151" s="19"/>
    </row>
    <row r="152" ht="15.75" customHeight="1">
      <c r="B152" s="19"/>
    </row>
    <row r="153" ht="15.75" customHeight="1">
      <c r="B153" s="19"/>
    </row>
    <row r="154" ht="15.75" customHeight="1">
      <c r="B154" s="19"/>
    </row>
    <row r="155" ht="15.75" customHeight="1">
      <c r="B155" s="19"/>
    </row>
    <row r="156" ht="15.75" customHeight="1">
      <c r="B156" s="19"/>
    </row>
    <row r="157" ht="15.75" customHeight="1">
      <c r="B157" s="19"/>
    </row>
    <row r="158" ht="15.75" customHeight="1">
      <c r="B158" s="19"/>
    </row>
    <row r="159" ht="15.75" customHeight="1">
      <c r="B159" s="19"/>
    </row>
    <row r="160" ht="15.75" customHeight="1">
      <c r="B160" s="19"/>
    </row>
    <row r="161" ht="15.75" customHeight="1">
      <c r="B161" s="19"/>
    </row>
    <row r="162" ht="15.75" customHeight="1">
      <c r="B162" s="19"/>
    </row>
    <row r="163" ht="15.75" customHeight="1">
      <c r="B163" s="19"/>
    </row>
    <row r="164" ht="15.75" customHeight="1">
      <c r="B164" s="19"/>
    </row>
    <row r="165" ht="15.75" customHeight="1">
      <c r="B165" s="19"/>
    </row>
    <row r="166" ht="15.75" customHeight="1">
      <c r="B166" s="19"/>
    </row>
    <row r="167" ht="15.75" customHeight="1">
      <c r="B167" s="19"/>
    </row>
    <row r="168" ht="15.75" customHeight="1">
      <c r="B168" s="19"/>
    </row>
    <row r="169" ht="15.75" customHeight="1">
      <c r="B169" s="19"/>
    </row>
    <row r="170" ht="15.75" customHeight="1">
      <c r="B170" s="19"/>
    </row>
    <row r="171" ht="15.75" customHeight="1">
      <c r="B171" s="19"/>
    </row>
    <row r="172" ht="15.75" customHeight="1">
      <c r="B172" s="19"/>
    </row>
    <row r="173" ht="15.75" customHeight="1">
      <c r="B173" s="19"/>
    </row>
    <row r="174" ht="15.75" customHeight="1">
      <c r="B174" s="19"/>
    </row>
    <row r="175" ht="15.75" customHeight="1">
      <c r="B175" s="19"/>
    </row>
    <row r="176" ht="15.75" customHeight="1">
      <c r="B176" s="19"/>
    </row>
    <row r="177" ht="15.75" customHeight="1">
      <c r="B177" s="19"/>
    </row>
    <row r="178" ht="15.75" customHeight="1">
      <c r="B178" s="19"/>
    </row>
    <row r="179" ht="15.75" customHeight="1">
      <c r="B179" s="19"/>
    </row>
    <row r="180" ht="15.75" customHeight="1">
      <c r="B180" s="19"/>
    </row>
    <row r="181" ht="15.75" customHeight="1">
      <c r="B181" s="19"/>
    </row>
    <row r="182" ht="15.75" customHeight="1">
      <c r="B182" s="19"/>
    </row>
    <row r="183" ht="15.75" customHeight="1">
      <c r="B183" s="19"/>
    </row>
    <row r="184" ht="15.75" customHeight="1">
      <c r="B184" s="19"/>
    </row>
    <row r="185" ht="15.75" customHeight="1">
      <c r="B185" s="19"/>
    </row>
    <row r="186" ht="15.75" customHeight="1">
      <c r="B186" s="19"/>
    </row>
    <row r="187" ht="15.75" customHeight="1">
      <c r="B187" s="19"/>
    </row>
    <row r="188" ht="15.75" customHeight="1">
      <c r="B188" s="19"/>
    </row>
    <row r="189" ht="15.75" customHeight="1">
      <c r="B189" s="19"/>
    </row>
    <row r="190" ht="15.75" customHeight="1">
      <c r="B190" s="19"/>
    </row>
    <row r="191" ht="15.75" customHeight="1">
      <c r="B191" s="19"/>
    </row>
    <row r="192" ht="15.75" customHeight="1">
      <c r="B192" s="19"/>
    </row>
    <row r="193" ht="15.75" customHeight="1">
      <c r="B193" s="19"/>
    </row>
    <row r="194" ht="15.75" customHeight="1">
      <c r="B194" s="19"/>
    </row>
    <row r="195" ht="15.75" customHeight="1">
      <c r="B195" s="19"/>
    </row>
    <row r="196" ht="15.75" customHeight="1">
      <c r="B196" s="19"/>
    </row>
    <row r="197" ht="15.75" customHeight="1">
      <c r="B197" s="19"/>
    </row>
    <row r="198" ht="15.75" customHeight="1">
      <c r="B198" s="19"/>
    </row>
    <row r="199" ht="15.75" customHeight="1">
      <c r="B199" s="19"/>
    </row>
    <row r="200" ht="15.75" customHeight="1">
      <c r="B200" s="19"/>
    </row>
    <row r="201" ht="15.75" customHeight="1">
      <c r="B201" s="19"/>
    </row>
    <row r="202" ht="15.75" customHeight="1">
      <c r="B202" s="19"/>
    </row>
    <row r="203" ht="15.75" customHeight="1">
      <c r="B203" s="19"/>
    </row>
    <row r="204" ht="15.75" customHeight="1">
      <c r="B204" s="19"/>
    </row>
    <row r="205" ht="15.75" customHeight="1">
      <c r="B205" s="19"/>
    </row>
    <row r="206" ht="15.75" customHeight="1">
      <c r="B206" s="19"/>
    </row>
    <row r="207" ht="15.75" customHeight="1">
      <c r="B207" s="19"/>
    </row>
    <row r="208" ht="15.75" customHeight="1">
      <c r="B208" s="19"/>
    </row>
    <row r="209" ht="15.75" customHeight="1">
      <c r="B209" s="19"/>
    </row>
    <row r="210" ht="15.75" customHeight="1">
      <c r="B210" s="19"/>
    </row>
    <row r="211" ht="15.75" customHeight="1">
      <c r="B211" s="19"/>
    </row>
    <row r="212" ht="15.75" customHeight="1">
      <c r="B212" s="19"/>
    </row>
    <row r="213" ht="15.75" customHeight="1">
      <c r="B213" s="19"/>
    </row>
    <row r="214" ht="15.75" customHeight="1">
      <c r="B214" s="19"/>
    </row>
    <row r="215" ht="15.75" customHeight="1">
      <c r="B215" s="19"/>
    </row>
    <row r="216" ht="15.75" customHeight="1">
      <c r="B216" s="19"/>
    </row>
    <row r="217" ht="15.75" customHeight="1">
      <c r="B217" s="19"/>
    </row>
    <row r="218" ht="15.75" customHeight="1">
      <c r="B218" s="19"/>
    </row>
    <row r="219" ht="15.75" customHeight="1">
      <c r="B219" s="19"/>
    </row>
    <row r="220" ht="15.75" customHeight="1">
      <c r="B220" s="19"/>
    </row>
    <row r="221" ht="15.75" customHeight="1">
      <c r="B221" s="19"/>
    </row>
    <row r="222" ht="15.75" customHeight="1">
      <c r="B222" s="19"/>
    </row>
    <row r="223" ht="15.75" customHeight="1">
      <c r="B223" s="19"/>
    </row>
    <row r="224" ht="15.75" customHeight="1">
      <c r="B224" s="19"/>
    </row>
    <row r="225" ht="15.75" customHeight="1">
      <c r="B225" s="19"/>
    </row>
    <row r="226" ht="15.75" customHeight="1">
      <c r="B226" s="19"/>
    </row>
    <row r="227" ht="15.75" customHeight="1">
      <c r="B227" s="19"/>
    </row>
    <row r="228" ht="15.75" customHeight="1">
      <c r="B228" s="19"/>
    </row>
    <row r="229" ht="15.75" customHeight="1">
      <c r="B229" s="19"/>
    </row>
    <row r="230" ht="15.75" customHeight="1">
      <c r="B230" s="19"/>
    </row>
    <row r="231" ht="15.75" customHeight="1">
      <c r="B231" s="19"/>
    </row>
    <row r="232" ht="15.75" customHeight="1">
      <c r="B232" s="19"/>
    </row>
    <row r="233" ht="15.75" customHeight="1">
      <c r="B233" s="19"/>
    </row>
    <row r="234" ht="15.75" customHeight="1">
      <c r="B234" s="19"/>
    </row>
    <row r="235" ht="15.75" customHeight="1">
      <c r="B235" s="19"/>
    </row>
    <row r="236" ht="15.75" customHeight="1">
      <c r="B236" s="19"/>
    </row>
    <row r="237" ht="15.75" customHeight="1">
      <c r="B237" s="19"/>
    </row>
    <row r="238" ht="15.75" customHeight="1">
      <c r="B238" s="19"/>
    </row>
    <row r="239" ht="15.75" customHeight="1">
      <c r="B239" s="19"/>
    </row>
    <row r="240" ht="15.75" customHeight="1">
      <c r="B240" s="19"/>
    </row>
    <row r="241" ht="15.75" customHeight="1">
      <c r="B241" s="19"/>
    </row>
    <row r="242" ht="15.75" customHeight="1">
      <c r="B242" s="19"/>
    </row>
    <row r="243" ht="15.75" customHeight="1">
      <c r="B243" s="19"/>
    </row>
    <row r="244" ht="15.75" customHeight="1">
      <c r="B244" s="19"/>
    </row>
    <row r="245" ht="15.75" customHeight="1">
      <c r="B245" s="19"/>
    </row>
    <row r="246" ht="15.75" customHeight="1">
      <c r="B246" s="19"/>
    </row>
    <row r="247" ht="15.75" customHeight="1">
      <c r="B247" s="19"/>
    </row>
    <row r="248" ht="15.75" customHeight="1">
      <c r="B248" s="19"/>
    </row>
    <row r="249" ht="15.75" customHeight="1">
      <c r="B249" s="19"/>
    </row>
    <row r="250" ht="15.75" customHeight="1">
      <c r="B250" s="19"/>
    </row>
    <row r="251" ht="15.75" customHeight="1">
      <c r="B251" s="19"/>
    </row>
    <row r="252" ht="15.75" customHeight="1">
      <c r="B252" s="19"/>
    </row>
    <row r="253" ht="15.75" customHeight="1">
      <c r="B253" s="19"/>
    </row>
    <row r="254" ht="15.75" customHeight="1">
      <c r="B254" s="19"/>
    </row>
    <row r="255" ht="15.75" customHeight="1">
      <c r="B255" s="19"/>
    </row>
    <row r="256" ht="15.75" customHeight="1">
      <c r="B256" s="19"/>
    </row>
    <row r="257" ht="15.75" customHeight="1">
      <c r="B257" s="19"/>
    </row>
    <row r="258" ht="15.75" customHeight="1">
      <c r="B258" s="19"/>
    </row>
    <row r="259" ht="15.75" customHeight="1">
      <c r="B259" s="19"/>
    </row>
    <row r="260" ht="15.75" customHeight="1">
      <c r="B260" s="19"/>
    </row>
    <row r="261" ht="15.75" customHeight="1">
      <c r="B261" s="19"/>
    </row>
    <row r="262" ht="15.75" customHeight="1">
      <c r="B262" s="19"/>
    </row>
    <row r="263" ht="15.75" customHeight="1">
      <c r="B263" s="19"/>
    </row>
    <row r="264" ht="15.75" customHeight="1">
      <c r="B264" s="19"/>
    </row>
    <row r="265" ht="15.75" customHeight="1">
      <c r="B265" s="19"/>
    </row>
    <row r="266" ht="15.75" customHeight="1">
      <c r="B266" s="19"/>
    </row>
    <row r="267" ht="15.75" customHeight="1">
      <c r="B267" s="19"/>
    </row>
    <row r="268" ht="15.75" customHeight="1">
      <c r="B268" s="19"/>
    </row>
    <row r="269" ht="15.75" customHeight="1">
      <c r="B269" s="19"/>
    </row>
    <row r="270" ht="15.75" customHeight="1">
      <c r="B270" s="19"/>
    </row>
    <row r="271" ht="15.75" customHeight="1">
      <c r="B271" s="19"/>
    </row>
    <row r="272" ht="15.75" customHeight="1">
      <c r="B272" s="19"/>
    </row>
    <row r="273" ht="15.75" customHeight="1">
      <c r="B273" s="19"/>
    </row>
    <row r="274" ht="15.75" customHeight="1">
      <c r="B274" s="19"/>
    </row>
    <row r="275" ht="15.75" customHeight="1">
      <c r="B275" s="19"/>
    </row>
    <row r="276" ht="15.75" customHeight="1">
      <c r="B276" s="19"/>
    </row>
    <row r="277" ht="15.75" customHeight="1">
      <c r="B277" s="19"/>
    </row>
    <row r="278" ht="15.75" customHeight="1">
      <c r="B278" s="19"/>
    </row>
    <row r="279" ht="15.75" customHeight="1">
      <c r="B279" s="19"/>
    </row>
    <row r="280" ht="15.75" customHeight="1">
      <c r="B280" s="19"/>
    </row>
    <row r="281" ht="15.75" customHeight="1">
      <c r="B281" s="19"/>
    </row>
    <row r="282" ht="15.75" customHeight="1">
      <c r="B282" s="19"/>
    </row>
    <row r="283" ht="15.75" customHeight="1">
      <c r="B283" s="19"/>
    </row>
    <row r="284" ht="15.75" customHeight="1">
      <c r="B284" s="19"/>
    </row>
    <row r="285" ht="15.75" customHeight="1">
      <c r="B285" s="19"/>
    </row>
    <row r="286" ht="15.75" customHeight="1">
      <c r="B286" s="19"/>
    </row>
    <row r="287" ht="15.75" customHeight="1">
      <c r="B287" s="19"/>
    </row>
    <row r="288" ht="15.75" customHeight="1">
      <c r="B288" s="19"/>
    </row>
    <row r="289" ht="15.75" customHeight="1">
      <c r="B289" s="19"/>
    </row>
    <row r="290" ht="15.75" customHeight="1">
      <c r="B290" s="19"/>
    </row>
    <row r="291" ht="15.75" customHeight="1">
      <c r="B291" s="19"/>
    </row>
    <row r="292" ht="15.75" customHeight="1">
      <c r="B292" s="19"/>
    </row>
    <row r="293" ht="15.75" customHeight="1">
      <c r="B293" s="19"/>
    </row>
    <row r="294" ht="15.75" customHeight="1">
      <c r="B294" s="19"/>
    </row>
    <row r="295" ht="15.75" customHeight="1">
      <c r="B295" s="19"/>
    </row>
    <row r="296" ht="15.75" customHeight="1">
      <c r="B296" s="19"/>
    </row>
    <row r="297" ht="15.75" customHeight="1">
      <c r="B297" s="19"/>
    </row>
    <row r="298" ht="15.75" customHeight="1">
      <c r="B298" s="19"/>
    </row>
    <row r="299" ht="15.75" customHeight="1">
      <c r="B299" s="19"/>
    </row>
    <row r="300" ht="15.75" customHeight="1">
      <c r="B300" s="19"/>
    </row>
    <row r="301" ht="15.75" customHeight="1">
      <c r="B301" s="19"/>
    </row>
    <row r="302" ht="15.75" customHeight="1">
      <c r="B302" s="19"/>
    </row>
    <row r="303" ht="15.75" customHeight="1">
      <c r="B303" s="19"/>
    </row>
    <row r="304" ht="15.75" customHeight="1">
      <c r="B304" s="19"/>
    </row>
    <row r="305" ht="15.75" customHeight="1">
      <c r="B305" s="19"/>
    </row>
    <row r="306" ht="15.75" customHeight="1">
      <c r="B306" s="19"/>
    </row>
    <row r="307" ht="15.75" customHeight="1">
      <c r="B307" s="19"/>
    </row>
    <row r="308" ht="15.75" customHeight="1">
      <c r="B308" s="19"/>
    </row>
    <row r="309" ht="15.75" customHeight="1">
      <c r="B309" s="19"/>
    </row>
    <row r="310" ht="15.75" customHeight="1">
      <c r="B310" s="19"/>
    </row>
    <row r="311" ht="15.75" customHeight="1">
      <c r="B311" s="19"/>
    </row>
    <row r="312" ht="15.75" customHeight="1">
      <c r="B312" s="19"/>
    </row>
    <row r="313" ht="15.75" customHeight="1">
      <c r="B313" s="19"/>
    </row>
    <row r="314" ht="15.75" customHeight="1">
      <c r="B314" s="19"/>
    </row>
    <row r="315" ht="15.75" customHeight="1">
      <c r="B315" s="19"/>
    </row>
    <row r="316" ht="15.75" customHeight="1">
      <c r="B316" s="19"/>
    </row>
    <row r="317" ht="15.75" customHeight="1">
      <c r="B317" s="19"/>
    </row>
    <row r="318" ht="15.75" customHeight="1">
      <c r="B318" s="19"/>
    </row>
    <row r="319" ht="15.75" customHeight="1">
      <c r="B319" s="19"/>
    </row>
    <row r="320" ht="15.75" customHeight="1">
      <c r="B320" s="19"/>
    </row>
    <row r="321" ht="15.75" customHeight="1">
      <c r="B321" s="19"/>
    </row>
    <row r="322" ht="15.75" customHeight="1">
      <c r="B322" s="19"/>
    </row>
    <row r="323" ht="15.75" customHeight="1">
      <c r="B323" s="19"/>
    </row>
    <row r="324" ht="15.75" customHeight="1">
      <c r="B324" s="19"/>
    </row>
    <row r="325" ht="15.75" customHeight="1">
      <c r="B325" s="19"/>
    </row>
    <row r="326" ht="15.75" customHeight="1">
      <c r="B326" s="19"/>
    </row>
    <row r="327" ht="15.75" customHeight="1">
      <c r="B327" s="19"/>
    </row>
    <row r="328" ht="15.75" customHeight="1">
      <c r="B328" s="19"/>
    </row>
    <row r="329" ht="15.75" customHeight="1">
      <c r="B329" s="19"/>
    </row>
    <row r="330" ht="15.75" customHeight="1">
      <c r="B330" s="19"/>
    </row>
    <row r="331" ht="15.75" customHeight="1">
      <c r="B331" s="19"/>
    </row>
    <row r="332" ht="15.75" customHeight="1">
      <c r="B332" s="19"/>
    </row>
    <row r="333" ht="15.75" customHeight="1">
      <c r="B333" s="19"/>
    </row>
    <row r="334" ht="15.75" customHeight="1">
      <c r="B334" s="19"/>
    </row>
    <row r="335" ht="15.75" customHeight="1">
      <c r="B335" s="19"/>
    </row>
    <row r="336" ht="15.75" customHeight="1">
      <c r="B336" s="19"/>
    </row>
    <row r="337" ht="15.75" customHeight="1">
      <c r="B337" s="19"/>
    </row>
    <row r="338" ht="15.75" customHeight="1">
      <c r="B338" s="19"/>
    </row>
    <row r="339" ht="15.75" customHeight="1">
      <c r="B339" s="19"/>
    </row>
    <row r="340" ht="15.75" customHeight="1">
      <c r="B340" s="19"/>
    </row>
    <row r="341" ht="15.75" customHeight="1">
      <c r="B341" s="19"/>
    </row>
    <row r="342" ht="15.75" customHeight="1">
      <c r="B342" s="19"/>
    </row>
    <row r="343" ht="15.75" customHeight="1">
      <c r="B343" s="19"/>
    </row>
    <row r="344" ht="15.75" customHeight="1">
      <c r="B344" s="19"/>
    </row>
    <row r="345" ht="15.75" customHeight="1">
      <c r="B345" s="19"/>
    </row>
    <row r="346" ht="15.75" customHeight="1">
      <c r="B346" s="19"/>
    </row>
    <row r="347" ht="15.75" customHeight="1">
      <c r="B347" s="19"/>
    </row>
    <row r="348" ht="15.75" customHeight="1">
      <c r="B348" s="19"/>
    </row>
    <row r="349" ht="15.75" customHeight="1">
      <c r="B349" s="19"/>
    </row>
    <row r="350" ht="15.75" customHeight="1">
      <c r="B350" s="19"/>
    </row>
    <row r="351" ht="15.75" customHeight="1">
      <c r="B351" s="19"/>
    </row>
    <row r="352" ht="15.75" customHeight="1">
      <c r="B352" s="19"/>
    </row>
    <row r="353" ht="15.75" customHeight="1">
      <c r="B353" s="19"/>
    </row>
    <row r="354" ht="15.75" customHeight="1">
      <c r="B354" s="19"/>
    </row>
    <row r="355" ht="15.75" customHeight="1">
      <c r="B355" s="19"/>
    </row>
    <row r="356" ht="15.75" customHeight="1">
      <c r="B356" s="19"/>
    </row>
    <row r="357" ht="15.75" customHeight="1">
      <c r="B357" s="19"/>
    </row>
    <row r="358" ht="15.75" customHeight="1">
      <c r="B358" s="19"/>
    </row>
    <row r="359" ht="15.75" customHeight="1">
      <c r="B359" s="19"/>
    </row>
    <row r="360" ht="15.75" customHeight="1">
      <c r="B360" s="19"/>
    </row>
    <row r="361" ht="15.75" customHeight="1">
      <c r="B361" s="19"/>
    </row>
    <row r="362" ht="15.75" customHeight="1">
      <c r="B362" s="19"/>
    </row>
    <row r="363" ht="15.75" customHeight="1">
      <c r="B363" s="19"/>
    </row>
    <row r="364" ht="15.75" customHeight="1">
      <c r="B364" s="19"/>
    </row>
    <row r="365" ht="15.75" customHeight="1">
      <c r="B365" s="19"/>
    </row>
    <row r="366" ht="15.75" customHeight="1">
      <c r="B366" s="19"/>
    </row>
    <row r="367" ht="15.75" customHeight="1">
      <c r="B367" s="19"/>
    </row>
    <row r="368" ht="15.75" customHeight="1">
      <c r="B368" s="19"/>
    </row>
    <row r="369" ht="15.75" customHeight="1">
      <c r="B369" s="19"/>
    </row>
    <row r="370" ht="15.75" customHeight="1">
      <c r="B370" s="19"/>
    </row>
    <row r="371" ht="15.75" customHeight="1">
      <c r="B371" s="19"/>
    </row>
    <row r="372" ht="15.75" customHeight="1">
      <c r="B372" s="19"/>
    </row>
    <row r="373" ht="15.75" customHeight="1">
      <c r="B373" s="19"/>
    </row>
    <row r="374" ht="15.75" customHeight="1">
      <c r="B374" s="19"/>
    </row>
    <row r="375" ht="15.75" customHeight="1">
      <c r="B375" s="19"/>
    </row>
    <row r="376" ht="15.75" customHeight="1">
      <c r="B376" s="19"/>
    </row>
    <row r="377" ht="15.75" customHeight="1">
      <c r="B377" s="19"/>
    </row>
    <row r="378" ht="15.75" customHeight="1">
      <c r="B378" s="19"/>
    </row>
    <row r="379" ht="15.75" customHeight="1">
      <c r="B379" s="19"/>
    </row>
    <row r="380" ht="15.75" customHeight="1">
      <c r="B380" s="19"/>
    </row>
    <row r="381" ht="15.75" customHeight="1">
      <c r="B381" s="19"/>
    </row>
    <row r="382" ht="15.75" customHeight="1">
      <c r="B382" s="19"/>
    </row>
    <row r="383" ht="15.75" customHeight="1">
      <c r="B383" s="19"/>
    </row>
    <row r="384" ht="15.75" customHeight="1">
      <c r="B384" s="19"/>
    </row>
    <row r="385" ht="15.75" customHeight="1">
      <c r="B385" s="19"/>
    </row>
    <row r="386" ht="15.75" customHeight="1">
      <c r="B386" s="19"/>
    </row>
    <row r="387" ht="15.75" customHeight="1">
      <c r="B387" s="19"/>
    </row>
    <row r="388" ht="15.75" customHeight="1">
      <c r="B388" s="19"/>
    </row>
    <row r="389" ht="15.75" customHeight="1">
      <c r="B389" s="19"/>
    </row>
    <row r="390" ht="15.75" customHeight="1">
      <c r="B390" s="19"/>
    </row>
    <row r="391" ht="15.75" customHeight="1">
      <c r="B391" s="19"/>
    </row>
    <row r="392" ht="15.75" customHeight="1">
      <c r="B392" s="19"/>
    </row>
    <row r="393" ht="15.75" customHeight="1">
      <c r="B393" s="19"/>
    </row>
    <row r="394" ht="15.75" customHeight="1">
      <c r="B394" s="19"/>
    </row>
    <row r="395" ht="15.75" customHeight="1">
      <c r="B395" s="19"/>
    </row>
    <row r="396" ht="15.75" customHeight="1">
      <c r="B396" s="19"/>
    </row>
    <row r="397" ht="15.75" customHeight="1">
      <c r="B397" s="19"/>
    </row>
    <row r="398" ht="15.75" customHeight="1">
      <c r="B398" s="19"/>
    </row>
    <row r="399" ht="15.75" customHeight="1">
      <c r="B399" s="19"/>
    </row>
    <row r="400" ht="15.75" customHeight="1">
      <c r="B400" s="19"/>
    </row>
    <row r="401" ht="15.75" customHeight="1">
      <c r="B401" s="19"/>
    </row>
    <row r="402" ht="15.75" customHeight="1">
      <c r="B402" s="19"/>
    </row>
    <row r="403" ht="15.75" customHeight="1">
      <c r="B403" s="19"/>
    </row>
    <row r="404" ht="15.75" customHeight="1">
      <c r="B404" s="19"/>
    </row>
    <row r="405" ht="15.75" customHeight="1">
      <c r="B405" s="19"/>
    </row>
    <row r="406" ht="15.75" customHeight="1">
      <c r="B406" s="19"/>
    </row>
    <row r="407" ht="15.75" customHeight="1">
      <c r="B407" s="19"/>
    </row>
    <row r="408" ht="15.75" customHeight="1">
      <c r="B408" s="19"/>
    </row>
    <row r="409" ht="15.75" customHeight="1">
      <c r="B409" s="19"/>
    </row>
    <row r="410" ht="15.75" customHeight="1">
      <c r="B410" s="19"/>
    </row>
    <row r="411" ht="15.75" customHeight="1">
      <c r="B411" s="19"/>
    </row>
    <row r="412" ht="15.75" customHeight="1">
      <c r="B412" s="19"/>
    </row>
    <row r="413" ht="15.75" customHeight="1">
      <c r="B413" s="19"/>
    </row>
    <row r="414" ht="15.75" customHeight="1">
      <c r="B414" s="19"/>
    </row>
    <row r="415" ht="15.75" customHeight="1">
      <c r="B415" s="19"/>
    </row>
    <row r="416" ht="15.75" customHeight="1">
      <c r="B416" s="19"/>
    </row>
    <row r="417" ht="15.75" customHeight="1">
      <c r="B417" s="19"/>
    </row>
    <row r="418" ht="15.75" customHeight="1">
      <c r="B418" s="19"/>
    </row>
    <row r="419" ht="15.75" customHeight="1">
      <c r="B419" s="19"/>
    </row>
    <row r="420" ht="15.75" customHeight="1">
      <c r="B420" s="19"/>
    </row>
    <row r="421" ht="15.75" customHeight="1">
      <c r="B421" s="19"/>
    </row>
    <row r="422" ht="15.75" customHeight="1">
      <c r="B422" s="19"/>
    </row>
    <row r="423" ht="15.75" customHeight="1">
      <c r="B423" s="19"/>
    </row>
    <row r="424" ht="15.75" customHeight="1">
      <c r="B424" s="19"/>
    </row>
    <row r="425" ht="15.75" customHeight="1">
      <c r="B425" s="19"/>
    </row>
    <row r="426" ht="15.75" customHeight="1">
      <c r="B426" s="19"/>
    </row>
    <row r="427" ht="15.75" customHeight="1">
      <c r="B427" s="19"/>
    </row>
    <row r="428" ht="15.75" customHeight="1">
      <c r="B428" s="19"/>
    </row>
    <row r="429" ht="15.75" customHeight="1">
      <c r="B429" s="19"/>
    </row>
    <row r="430" ht="15.75" customHeight="1">
      <c r="B430" s="19"/>
    </row>
    <row r="431" ht="15.75" customHeight="1">
      <c r="B431" s="19"/>
    </row>
    <row r="432" ht="15.75" customHeight="1">
      <c r="B432" s="19"/>
    </row>
    <row r="433" ht="15.75" customHeight="1">
      <c r="B433" s="19"/>
    </row>
    <row r="434" ht="15.75" customHeight="1">
      <c r="B434" s="19"/>
    </row>
    <row r="435" ht="15.75" customHeight="1">
      <c r="B435" s="19"/>
    </row>
    <row r="436" ht="15.75" customHeight="1">
      <c r="B436" s="19"/>
    </row>
    <row r="437" ht="15.75" customHeight="1">
      <c r="B437" s="19"/>
    </row>
    <row r="438" ht="15.75" customHeight="1">
      <c r="B438" s="19"/>
    </row>
    <row r="439" ht="15.75" customHeight="1">
      <c r="B439" s="19"/>
    </row>
    <row r="440" ht="15.75" customHeight="1">
      <c r="B440" s="19"/>
    </row>
    <row r="441" ht="15.75" customHeight="1">
      <c r="B441" s="19"/>
    </row>
    <row r="442" ht="15.75" customHeight="1">
      <c r="B442" s="19"/>
    </row>
    <row r="443" ht="15.75" customHeight="1">
      <c r="B443" s="19"/>
    </row>
    <row r="444" ht="15.75" customHeight="1">
      <c r="B444" s="19"/>
    </row>
    <row r="445" ht="15.75" customHeight="1">
      <c r="B445" s="19"/>
    </row>
    <row r="446" ht="15.75" customHeight="1">
      <c r="B446" s="19"/>
    </row>
    <row r="447" ht="15.75" customHeight="1">
      <c r="B447" s="19"/>
    </row>
    <row r="448" ht="15.75" customHeight="1">
      <c r="B448" s="19"/>
    </row>
    <row r="449" ht="15.75" customHeight="1">
      <c r="B449" s="19"/>
    </row>
    <row r="450" ht="15.75" customHeight="1">
      <c r="B450" s="19"/>
    </row>
    <row r="451" ht="15.75" customHeight="1">
      <c r="B451" s="19"/>
    </row>
    <row r="452" ht="15.75" customHeight="1">
      <c r="B452" s="19"/>
    </row>
    <row r="453" ht="15.75" customHeight="1">
      <c r="B453" s="19"/>
    </row>
    <row r="454" ht="15.75" customHeight="1">
      <c r="B454" s="19"/>
    </row>
    <row r="455" ht="15.75" customHeight="1">
      <c r="B455" s="19"/>
    </row>
    <row r="456" ht="15.75" customHeight="1">
      <c r="B456" s="19"/>
    </row>
    <row r="457" ht="15.75" customHeight="1">
      <c r="B457" s="19"/>
    </row>
    <row r="458" ht="15.75" customHeight="1">
      <c r="B458" s="19"/>
    </row>
    <row r="459" ht="15.75" customHeight="1">
      <c r="B459" s="19"/>
    </row>
    <row r="460" ht="15.75" customHeight="1">
      <c r="B460" s="19"/>
    </row>
    <row r="461" ht="15.75" customHeight="1">
      <c r="B461" s="19"/>
    </row>
    <row r="462" ht="15.75" customHeight="1">
      <c r="B462" s="19"/>
    </row>
    <row r="463" ht="15.75" customHeight="1">
      <c r="B463" s="19"/>
    </row>
    <row r="464" ht="15.75" customHeight="1">
      <c r="B464" s="19"/>
    </row>
    <row r="465" ht="15.75" customHeight="1">
      <c r="B465" s="19"/>
    </row>
    <row r="466" ht="15.75" customHeight="1">
      <c r="B466" s="19"/>
    </row>
    <row r="467" ht="15.75" customHeight="1">
      <c r="B467" s="19"/>
    </row>
    <row r="468" ht="15.75" customHeight="1">
      <c r="B468" s="19"/>
    </row>
    <row r="469" ht="15.75" customHeight="1">
      <c r="B469" s="19"/>
    </row>
    <row r="470" ht="15.75" customHeight="1">
      <c r="B470" s="19"/>
    </row>
    <row r="471" ht="15.75" customHeight="1">
      <c r="B471" s="19"/>
    </row>
    <row r="472" ht="15.75" customHeight="1">
      <c r="B472" s="19"/>
    </row>
    <row r="473" ht="15.75" customHeight="1">
      <c r="B473" s="19"/>
    </row>
    <row r="474" ht="15.75" customHeight="1">
      <c r="B474" s="19"/>
    </row>
    <row r="475" ht="15.75" customHeight="1">
      <c r="B475" s="19"/>
    </row>
    <row r="476" ht="15.75" customHeight="1">
      <c r="B476" s="19"/>
    </row>
    <row r="477" ht="15.75" customHeight="1">
      <c r="B477" s="19"/>
    </row>
    <row r="478" ht="15.75" customHeight="1">
      <c r="B478" s="19"/>
    </row>
    <row r="479" ht="15.75" customHeight="1">
      <c r="B479" s="19"/>
    </row>
    <row r="480" ht="15.75" customHeight="1">
      <c r="B480" s="19"/>
    </row>
    <row r="481" ht="15.75" customHeight="1">
      <c r="B481" s="19"/>
    </row>
    <row r="482" ht="15.75" customHeight="1">
      <c r="B482" s="19"/>
    </row>
    <row r="483" ht="15.75" customHeight="1">
      <c r="B483" s="19"/>
    </row>
    <row r="484" ht="15.75" customHeight="1">
      <c r="B484" s="19"/>
    </row>
    <row r="485" ht="15.75" customHeight="1">
      <c r="B485" s="19"/>
    </row>
    <row r="486" ht="15.75" customHeight="1">
      <c r="B486" s="19"/>
    </row>
    <row r="487" ht="15.75" customHeight="1">
      <c r="B487" s="19"/>
    </row>
    <row r="488" ht="15.75" customHeight="1">
      <c r="B488" s="19"/>
    </row>
    <row r="489" ht="15.75" customHeight="1">
      <c r="B489" s="19"/>
    </row>
    <row r="490" ht="15.75" customHeight="1">
      <c r="B490" s="19"/>
    </row>
    <row r="491" ht="15.75" customHeight="1">
      <c r="B491" s="19"/>
    </row>
    <row r="492" ht="15.75" customHeight="1">
      <c r="B492" s="19"/>
    </row>
    <row r="493" ht="15.75" customHeight="1">
      <c r="B493" s="19"/>
    </row>
    <row r="494" ht="15.75" customHeight="1">
      <c r="B494" s="19"/>
    </row>
    <row r="495" ht="15.75" customHeight="1">
      <c r="B495" s="19"/>
    </row>
    <row r="496" ht="15.75" customHeight="1">
      <c r="B496" s="19"/>
    </row>
    <row r="497" ht="15.75" customHeight="1">
      <c r="B497" s="19"/>
    </row>
    <row r="498" ht="15.75" customHeight="1">
      <c r="B498" s="19"/>
    </row>
    <row r="499" ht="15.75" customHeight="1">
      <c r="B499" s="19"/>
    </row>
    <row r="500" ht="15.75" customHeight="1">
      <c r="B500" s="19"/>
    </row>
    <row r="501" ht="15.75" customHeight="1">
      <c r="B501" s="19"/>
    </row>
    <row r="502" ht="15.75" customHeight="1">
      <c r="B502" s="19"/>
    </row>
    <row r="503" ht="15.75" customHeight="1">
      <c r="B503" s="19"/>
    </row>
    <row r="504" ht="15.75" customHeight="1">
      <c r="B504" s="19"/>
    </row>
    <row r="505" ht="15.75" customHeight="1">
      <c r="B505" s="19"/>
    </row>
    <row r="506" ht="15.75" customHeight="1">
      <c r="B506" s="19"/>
    </row>
    <row r="507" ht="15.75" customHeight="1">
      <c r="B507" s="19"/>
    </row>
    <row r="508" ht="15.75" customHeight="1">
      <c r="B508" s="19"/>
    </row>
    <row r="509" ht="15.75" customHeight="1">
      <c r="B509" s="19"/>
    </row>
    <row r="510" ht="15.75" customHeight="1">
      <c r="B510" s="19"/>
    </row>
    <row r="511" ht="15.75" customHeight="1">
      <c r="B511" s="19"/>
    </row>
    <row r="512" ht="15.75" customHeight="1">
      <c r="B512" s="19"/>
    </row>
    <row r="513" ht="15.75" customHeight="1">
      <c r="B513" s="19"/>
    </row>
    <row r="514" ht="15.75" customHeight="1">
      <c r="B514" s="19"/>
    </row>
    <row r="515" ht="15.75" customHeight="1">
      <c r="B515" s="19"/>
    </row>
    <row r="516" ht="15.75" customHeight="1">
      <c r="B516" s="19"/>
    </row>
    <row r="517" ht="15.75" customHeight="1">
      <c r="B517" s="19"/>
    </row>
    <row r="518" ht="15.75" customHeight="1">
      <c r="B518" s="19"/>
    </row>
    <row r="519" ht="15.75" customHeight="1">
      <c r="B519" s="19"/>
    </row>
    <row r="520" ht="15.75" customHeight="1">
      <c r="B520" s="19"/>
    </row>
    <row r="521" ht="15.75" customHeight="1">
      <c r="B521" s="19"/>
    </row>
    <row r="522" ht="15.75" customHeight="1">
      <c r="B522" s="19"/>
    </row>
    <row r="523" ht="15.75" customHeight="1">
      <c r="B523" s="19"/>
    </row>
    <row r="524" ht="15.75" customHeight="1">
      <c r="B524" s="19"/>
    </row>
    <row r="525" ht="15.75" customHeight="1">
      <c r="B525" s="19"/>
    </row>
    <row r="526" ht="15.75" customHeight="1">
      <c r="B526" s="19"/>
    </row>
    <row r="527" ht="15.75" customHeight="1">
      <c r="B527" s="19"/>
    </row>
    <row r="528" ht="15.75" customHeight="1">
      <c r="B528" s="19"/>
    </row>
    <row r="529" ht="15.75" customHeight="1">
      <c r="B529" s="19"/>
    </row>
    <row r="530" ht="15.75" customHeight="1">
      <c r="B530" s="19"/>
    </row>
    <row r="531" ht="15.75" customHeight="1">
      <c r="B531" s="19"/>
    </row>
    <row r="532" ht="15.75" customHeight="1">
      <c r="B532" s="19"/>
    </row>
    <row r="533" ht="15.75" customHeight="1">
      <c r="B533" s="19"/>
    </row>
    <row r="534" ht="15.75" customHeight="1">
      <c r="B534" s="19"/>
    </row>
    <row r="535" ht="15.75" customHeight="1">
      <c r="B535" s="19"/>
    </row>
    <row r="536" ht="15.75" customHeight="1">
      <c r="B536" s="19"/>
    </row>
    <row r="537" ht="15.75" customHeight="1">
      <c r="B537" s="19"/>
    </row>
    <row r="538" ht="15.75" customHeight="1">
      <c r="B538" s="19"/>
    </row>
    <row r="539" ht="15.75" customHeight="1">
      <c r="B539" s="19"/>
    </row>
    <row r="540" ht="15.75" customHeight="1">
      <c r="B540" s="19"/>
    </row>
    <row r="541" ht="15.75" customHeight="1">
      <c r="B541" s="19"/>
    </row>
    <row r="542" ht="15.75" customHeight="1">
      <c r="B542" s="19"/>
    </row>
    <row r="543" ht="15.75" customHeight="1">
      <c r="B543" s="19"/>
    </row>
    <row r="544" ht="15.75" customHeight="1">
      <c r="B544" s="19"/>
    </row>
    <row r="545" ht="15.75" customHeight="1">
      <c r="B545" s="19"/>
    </row>
    <row r="546" ht="15.75" customHeight="1">
      <c r="B546" s="19"/>
    </row>
    <row r="547" ht="15.75" customHeight="1">
      <c r="B547" s="19"/>
    </row>
    <row r="548" ht="15.75" customHeight="1">
      <c r="B548" s="19"/>
    </row>
    <row r="549" ht="15.75" customHeight="1">
      <c r="B549" s="19"/>
    </row>
    <row r="550" ht="15.75" customHeight="1">
      <c r="B550" s="19"/>
    </row>
    <row r="551" ht="15.75" customHeight="1">
      <c r="B551" s="19"/>
    </row>
    <row r="552" ht="15.75" customHeight="1">
      <c r="B552" s="19"/>
    </row>
    <row r="553" ht="15.75" customHeight="1">
      <c r="B553" s="19"/>
    </row>
    <row r="554" ht="15.75" customHeight="1">
      <c r="B554" s="19"/>
    </row>
    <row r="555" ht="15.75" customHeight="1">
      <c r="B555" s="19"/>
    </row>
    <row r="556" ht="15.75" customHeight="1">
      <c r="B556" s="19"/>
    </row>
    <row r="557" ht="15.75" customHeight="1">
      <c r="B557" s="19"/>
    </row>
    <row r="558" ht="15.75" customHeight="1">
      <c r="B558" s="19"/>
    </row>
    <row r="559" ht="15.75" customHeight="1">
      <c r="B559" s="19"/>
    </row>
    <row r="560" ht="15.75" customHeight="1">
      <c r="B560" s="19"/>
    </row>
    <row r="561" ht="15.75" customHeight="1">
      <c r="B561" s="19"/>
    </row>
    <row r="562" ht="15.75" customHeight="1">
      <c r="B562" s="19"/>
    </row>
    <row r="563" ht="15.75" customHeight="1">
      <c r="B563" s="19"/>
    </row>
    <row r="564" ht="15.75" customHeight="1">
      <c r="B564" s="19"/>
    </row>
    <row r="565" ht="15.75" customHeight="1">
      <c r="B565" s="19"/>
    </row>
    <row r="566" ht="15.75" customHeight="1">
      <c r="B566" s="19"/>
    </row>
    <row r="567" ht="15.75" customHeight="1">
      <c r="B567" s="19"/>
    </row>
    <row r="568" ht="15.75" customHeight="1">
      <c r="B568" s="19"/>
    </row>
    <row r="569" ht="15.75" customHeight="1">
      <c r="B569" s="19"/>
    </row>
    <row r="570" ht="15.75" customHeight="1">
      <c r="B570" s="19"/>
    </row>
    <row r="571" ht="15.75" customHeight="1">
      <c r="B571" s="19"/>
    </row>
    <row r="572" ht="15.75" customHeight="1">
      <c r="B572" s="19"/>
    </row>
    <row r="573" ht="15.75" customHeight="1">
      <c r="B573" s="19"/>
    </row>
    <row r="574" ht="15.75" customHeight="1">
      <c r="B574" s="19"/>
    </row>
    <row r="575" ht="15.75" customHeight="1">
      <c r="B575" s="19"/>
    </row>
    <row r="576" ht="15.75" customHeight="1">
      <c r="B576" s="19"/>
    </row>
    <row r="577" ht="15.75" customHeight="1">
      <c r="B577" s="19"/>
    </row>
    <row r="578" ht="15.75" customHeight="1">
      <c r="B578" s="19"/>
    </row>
    <row r="579" ht="15.75" customHeight="1">
      <c r="B579" s="19"/>
    </row>
    <row r="580" ht="15.75" customHeight="1">
      <c r="B580" s="19"/>
    </row>
    <row r="581" ht="15.75" customHeight="1">
      <c r="B581" s="19"/>
    </row>
    <row r="582" ht="15.75" customHeight="1">
      <c r="B582" s="19"/>
    </row>
    <row r="583" ht="15.75" customHeight="1">
      <c r="B583" s="19"/>
    </row>
    <row r="584" ht="15.75" customHeight="1">
      <c r="B584" s="19"/>
    </row>
    <row r="585" ht="15.75" customHeight="1">
      <c r="B585" s="19"/>
    </row>
    <row r="586" ht="15.75" customHeight="1">
      <c r="B586" s="19"/>
    </row>
    <row r="587" ht="15.75" customHeight="1">
      <c r="B587" s="19"/>
    </row>
    <row r="588" ht="15.75" customHeight="1">
      <c r="B588" s="19"/>
    </row>
    <row r="589" ht="15.75" customHeight="1">
      <c r="B589" s="19"/>
    </row>
    <row r="590" ht="15.75" customHeight="1">
      <c r="B590" s="19"/>
    </row>
    <row r="591" ht="15.75" customHeight="1">
      <c r="B591" s="19"/>
    </row>
    <row r="592" ht="15.75" customHeight="1">
      <c r="B592" s="19"/>
    </row>
    <row r="593" ht="15.75" customHeight="1">
      <c r="B593" s="19"/>
    </row>
    <row r="594" ht="15.75" customHeight="1">
      <c r="B594" s="19"/>
    </row>
    <row r="595" ht="15.75" customHeight="1">
      <c r="B595" s="19"/>
    </row>
    <row r="596" ht="15.75" customHeight="1">
      <c r="B596" s="19"/>
    </row>
    <row r="597" ht="15.75" customHeight="1">
      <c r="B597" s="19"/>
    </row>
    <row r="598" ht="15.75" customHeight="1">
      <c r="B598" s="19"/>
    </row>
    <row r="599" ht="15.75" customHeight="1">
      <c r="B599" s="19"/>
    </row>
    <row r="600" ht="15.75" customHeight="1">
      <c r="B600" s="19"/>
    </row>
    <row r="601" ht="15.75" customHeight="1">
      <c r="B601" s="19"/>
    </row>
    <row r="602" ht="15.75" customHeight="1">
      <c r="B602" s="19"/>
    </row>
    <row r="603" ht="15.75" customHeight="1">
      <c r="B603" s="19"/>
    </row>
    <row r="604" ht="15.75" customHeight="1">
      <c r="B604" s="19"/>
    </row>
    <row r="605" ht="15.75" customHeight="1">
      <c r="B605" s="19"/>
    </row>
    <row r="606" ht="15.75" customHeight="1">
      <c r="B606" s="19"/>
    </row>
    <row r="607" ht="15.75" customHeight="1">
      <c r="B607" s="19"/>
    </row>
    <row r="608" ht="15.75" customHeight="1">
      <c r="B608" s="19"/>
    </row>
    <row r="609" ht="15.75" customHeight="1">
      <c r="B609" s="19"/>
    </row>
    <row r="610" ht="15.75" customHeight="1">
      <c r="B610" s="19"/>
    </row>
    <row r="611" ht="15.75" customHeight="1">
      <c r="B611" s="19"/>
    </row>
    <row r="612" ht="15.75" customHeight="1">
      <c r="B612" s="19"/>
    </row>
    <row r="613" ht="15.75" customHeight="1">
      <c r="B613" s="19"/>
    </row>
    <row r="614" ht="15.75" customHeight="1">
      <c r="B614" s="19"/>
    </row>
    <row r="615" ht="15.75" customHeight="1">
      <c r="B615" s="19"/>
    </row>
    <row r="616" ht="15.75" customHeight="1">
      <c r="B616" s="19"/>
    </row>
    <row r="617" ht="15.75" customHeight="1">
      <c r="B617" s="19"/>
    </row>
    <row r="618" ht="15.75" customHeight="1">
      <c r="B618" s="19"/>
    </row>
    <row r="619" ht="15.75" customHeight="1">
      <c r="B619" s="19"/>
    </row>
    <row r="620" ht="15.75" customHeight="1">
      <c r="B620" s="19"/>
    </row>
    <row r="621" ht="15.75" customHeight="1">
      <c r="B621" s="19"/>
    </row>
    <row r="622" ht="15.75" customHeight="1">
      <c r="B622" s="19"/>
    </row>
    <row r="623" ht="15.75" customHeight="1">
      <c r="B623" s="19"/>
    </row>
    <row r="624" ht="15.75" customHeight="1">
      <c r="B624" s="19"/>
    </row>
    <row r="625" ht="15.75" customHeight="1">
      <c r="B625" s="19"/>
    </row>
    <row r="626" ht="15.75" customHeight="1">
      <c r="B626" s="19"/>
    </row>
    <row r="627" ht="15.75" customHeight="1">
      <c r="B627" s="19"/>
    </row>
    <row r="628" ht="15.75" customHeight="1">
      <c r="B628" s="19"/>
    </row>
    <row r="629" ht="15.75" customHeight="1">
      <c r="B629" s="19"/>
    </row>
    <row r="630" ht="15.75" customHeight="1">
      <c r="B630" s="19"/>
    </row>
    <row r="631" ht="15.75" customHeight="1">
      <c r="B631" s="19"/>
    </row>
    <row r="632" ht="15.75" customHeight="1">
      <c r="B632" s="19"/>
    </row>
    <row r="633" ht="15.75" customHeight="1">
      <c r="B633" s="19"/>
    </row>
    <row r="634" ht="15.75" customHeight="1">
      <c r="B634" s="19"/>
    </row>
    <row r="635" ht="15.75" customHeight="1">
      <c r="B635" s="19"/>
    </row>
    <row r="636" ht="15.75" customHeight="1">
      <c r="B636" s="19"/>
    </row>
    <row r="637" ht="15.75" customHeight="1">
      <c r="B637" s="19"/>
    </row>
    <row r="638" ht="15.75" customHeight="1">
      <c r="B638" s="19"/>
    </row>
    <row r="639" ht="15.75" customHeight="1">
      <c r="B639" s="19"/>
    </row>
    <row r="640" ht="15.75" customHeight="1">
      <c r="B640" s="19"/>
    </row>
    <row r="641" ht="15.75" customHeight="1">
      <c r="B641" s="19"/>
    </row>
    <row r="642" ht="15.75" customHeight="1">
      <c r="B642" s="19"/>
    </row>
    <row r="643" ht="15.75" customHeight="1">
      <c r="B643" s="19"/>
    </row>
    <row r="644" ht="15.75" customHeight="1">
      <c r="B644" s="19"/>
    </row>
    <row r="645" ht="15.75" customHeight="1">
      <c r="B645" s="19"/>
    </row>
    <row r="646" ht="15.75" customHeight="1">
      <c r="B646" s="19"/>
    </row>
    <row r="647" ht="15.75" customHeight="1">
      <c r="B647" s="19"/>
    </row>
    <row r="648" ht="15.75" customHeight="1">
      <c r="B648" s="19"/>
    </row>
    <row r="649" ht="15.75" customHeight="1">
      <c r="B649" s="19"/>
    </row>
    <row r="650" ht="15.75" customHeight="1">
      <c r="B650" s="19"/>
    </row>
    <row r="651" ht="15.75" customHeight="1">
      <c r="B651" s="19"/>
    </row>
    <row r="652" ht="15.75" customHeight="1">
      <c r="B652" s="19"/>
    </row>
    <row r="653" ht="15.75" customHeight="1">
      <c r="B653" s="19"/>
    </row>
    <row r="654" ht="15.75" customHeight="1">
      <c r="B654" s="19"/>
    </row>
    <row r="655" ht="15.75" customHeight="1">
      <c r="B655" s="19"/>
    </row>
    <row r="656" ht="15.75" customHeight="1">
      <c r="B656" s="19"/>
    </row>
    <row r="657" ht="15.75" customHeight="1">
      <c r="B657" s="19"/>
    </row>
    <row r="658" ht="15.75" customHeight="1">
      <c r="B658" s="19"/>
    </row>
    <row r="659" ht="15.75" customHeight="1">
      <c r="B659" s="19"/>
    </row>
    <row r="660" ht="15.75" customHeight="1">
      <c r="B660" s="19"/>
    </row>
    <row r="661" ht="15.75" customHeight="1">
      <c r="B661" s="19"/>
    </row>
    <row r="662" ht="15.75" customHeight="1">
      <c r="B662" s="19"/>
    </row>
    <row r="663" ht="15.75" customHeight="1">
      <c r="B663" s="19"/>
    </row>
    <row r="664" ht="15.75" customHeight="1">
      <c r="B664" s="19"/>
    </row>
    <row r="665" ht="15.75" customHeight="1">
      <c r="B665" s="19"/>
    </row>
    <row r="666" ht="15.75" customHeight="1">
      <c r="B666" s="19"/>
    </row>
    <row r="667" ht="15.75" customHeight="1">
      <c r="B667" s="19"/>
    </row>
    <row r="668" ht="15.75" customHeight="1">
      <c r="B668" s="19"/>
    </row>
    <row r="669" ht="15.75" customHeight="1">
      <c r="B669" s="19"/>
    </row>
    <row r="670" ht="15.75" customHeight="1">
      <c r="B670" s="19"/>
    </row>
    <row r="671" ht="15.75" customHeight="1">
      <c r="B671" s="19"/>
    </row>
    <row r="672" ht="15.75" customHeight="1">
      <c r="B672" s="19"/>
    </row>
    <row r="673" ht="15.75" customHeight="1">
      <c r="B673" s="19"/>
    </row>
    <row r="674" ht="15.75" customHeight="1">
      <c r="B674" s="19"/>
    </row>
    <row r="675" ht="15.75" customHeight="1">
      <c r="B675" s="19"/>
    </row>
    <row r="676" ht="15.75" customHeight="1">
      <c r="B676" s="19"/>
    </row>
    <row r="677" ht="15.75" customHeight="1">
      <c r="B677" s="19"/>
    </row>
    <row r="678" ht="15.75" customHeight="1">
      <c r="B678" s="19"/>
    </row>
    <row r="679" ht="15.75" customHeight="1">
      <c r="B679" s="19"/>
    </row>
    <row r="680" ht="15.75" customHeight="1">
      <c r="B680" s="19"/>
    </row>
    <row r="681" ht="15.75" customHeight="1">
      <c r="B681" s="19"/>
    </row>
    <row r="682" ht="15.75" customHeight="1">
      <c r="B682" s="19"/>
    </row>
    <row r="683" ht="15.75" customHeight="1">
      <c r="B683" s="19"/>
    </row>
    <row r="684" ht="15.75" customHeight="1">
      <c r="B684" s="19"/>
    </row>
    <row r="685" ht="15.75" customHeight="1">
      <c r="B685" s="19"/>
    </row>
    <row r="686" ht="15.75" customHeight="1">
      <c r="B686" s="19"/>
    </row>
    <row r="687" ht="15.75" customHeight="1">
      <c r="B687" s="19"/>
    </row>
    <row r="688" ht="15.75" customHeight="1">
      <c r="B688" s="19"/>
    </row>
    <row r="689" ht="15.75" customHeight="1">
      <c r="B689" s="19"/>
    </row>
    <row r="690" ht="15.75" customHeight="1">
      <c r="B690" s="19"/>
    </row>
    <row r="691" ht="15.75" customHeight="1">
      <c r="B691" s="19"/>
    </row>
    <row r="692" ht="15.75" customHeight="1">
      <c r="B692" s="19"/>
    </row>
    <row r="693" ht="15.75" customHeight="1">
      <c r="B693" s="19"/>
    </row>
    <row r="694" ht="15.75" customHeight="1">
      <c r="B694" s="19"/>
    </row>
    <row r="695" ht="15.75" customHeight="1">
      <c r="B695" s="19"/>
    </row>
    <row r="696" ht="15.75" customHeight="1">
      <c r="B696" s="19"/>
    </row>
    <row r="697" ht="15.75" customHeight="1">
      <c r="B697" s="19"/>
    </row>
    <row r="698" ht="15.75" customHeight="1">
      <c r="B698" s="19"/>
    </row>
    <row r="699" ht="15.75" customHeight="1">
      <c r="B699" s="19"/>
    </row>
    <row r="700" ht="15.75" customHeight="1">
      <c r="B700" s="19"/>
    </row>
    <row r="701" ht="15.75" customHeight="1">
      <c r="B701" s="19"/>
    </row>
    <row r="702" ht="15.75" customHeight="1">
      <c r="B702" s="19"/>
    </row>
    <row r="703" ht="15.75" customHeight="1">
      <c r="B703" s="19"/>
    </row>
    <row r="704" ht="15.75" customHeight="1">
      <c r="B704" s="19"/>
    </row>
    <row r="705" ht="15.75" customHeight="1">
      <c r="B705" s="19"/>
    </row>
    <row r="706" ht="15.75" customHeight="1">
      <c r="B706" s="19"/>
    </row>
    <row r="707" ht="15.75" customHeight="1">
      <c r="B707" s="19"/>
    </row>
    <row r="708" ht="15.75" customHeight="1">
      <c r="B708" s="19"/>
    </row>
    <row r="709" ht="15.75" customHeight="1">
      <c r="B709" s="19"/>
    </row>
    <row r="710" ht="15.75" customHeight="1">
      <c r="B710" s="19"/>
    </row>
    <row r="711" ht="15.75" customHeight="1">
      <c r="B711" s="19"/>
    </row>
    <row r="712" ht="15.75" customHeight="1">
      <c r="B712" s="19"/>
    </row>
    <row r="713" ht="15.75" customHeight="1">
      <c r="B713" s="19"/>
    </row>
    <row r="714" ht="15.75" customHeight="1">
      <c r="B714" s="19"/>
    </row>
    <row r="715" ht="15.75" customHeight="1">
      <c r="B715" s="19"/>
    </row>
    <row r="716" ht="15.75" customHeight="1">
      <c r="B716" s="19"/>
    </row>
    <row r="717" ht="15.75" customHeight="1">
      <c r="B717" s="19"/>
    </row>
    <row r="718" ht="15.75" customHeight="1">
      <c r="B718" s="19"/>
    </row>
    <row r="719" ht="15.75" customHeight="1">
      <c r="B719" s="19"/>
    </row>
    <row r="720" ht="15.75" customHeight="1">
      <c r="B720" s="19"/>
    </row>
    <row r="721" ht="15.75" customHeight="1">
      <c r="B721" s="19"/>
    </row>
    <row r="722" ht="15.75" customHeight="1">
      <c r="B722" s="19"/>
    </row>
    <row r="723" ht="15.75" customHeight="1">
      <c r="B723" s="19"/>
    </row>
    <row r="724" ht="15.75" customHeight="1">
      <c r="B724" s="19"/>
    </row>
    <row r="725" ht="15.75" customHeight="1">
      <c r="B725" s="19"/>
    </row>
    <row r="726" ht="15.75" customHeight="1">
      <c r="B726" s="19"/>
    </row>
    <row r="727" ht="15.75" customHeight="1">
      <c r="B727" s="19"/>
    </row>
    <row r="728" ht="15.75" customHeight="1">
      <c r="B728" s="19"/>
    </row>
    <row r="729" ht="15.75" customHeight="1">
      <c r="B729" s="19"/>
    </row>
    <row r="730" ht="15.75" customHeight="1">
      <c r="B730" s="19"/>
    </row>
    <row r="731" ht="15.75" customHeight="1">
      <c r="B731" s="19"/>
    </row>
    <row r="732" ht="15.75" customHeight="1">
      <c r="B732" s="19"/>
    </row>
    <row r="733" ht="15.75" customHeight="1">
      <c r="B733" s="19"/>
    </row>
    <row r="734" ht="15.75" customHeight="1">
      <c r="B734" s="19"/>
    </row>
    <row r="735" ht="15.75" customHeight="1">
      <c r="B735" s="19"/>
    </row>
    <row r="736" ht="15.75" customHeight="1">
      <c r="B736" s="19"/>
    </row>
    <row r="737" ht="15.75" customHeight="1">
      <c r="B737" s="19"/>
    </row>
    <row r="738" ht="15.75" customHeight="1">
      <c r="B738" s="19"/>
    </row>
    <row r="739" ht="15.75" customHeight="1">
      <c r="B739" s="19"/>
    </row>
    <row r="740" ht="15.75" customHeight="1">
      <c r="B740" s="19"/>
    </row>
    <row r="741" ht="15.75" customHeight="1">
      <c r="B741" s="19"/>
    </row>
    <row r="742" ht="15.75" customHeight="1">
      <c r="B742" s="19"/>
    </row>
    <row r="743" ht="15.75" customHeight="1">
      <c r="B743" s="19"/>
    </row>
    <row r="744" ht="15.75" customHeight="1">
      <c r="B744" s="19"/>
    </row>
    <row r="745" ht="15.75" customHeight="1">
      <c r="B745" s="19"/>
    </row>
    <row r="746" ht="15.75" customHeight="1">
      <c r="B746" s="19"/>
    </row>
    <row r="747" ht="15.75" customHeight="1">
      <c r="B747" s="19"/>
    </row>
    <row r="748" ht="15.75" customHeight="1">
      <c r="B748" s="19"/>
    </row>
    <row r="749" ht="15.75" customHeight="1">
      <c r="B749" s="19"/>
    </row>
    <row r="750" ht="15.75" customHeight="1">
      <c r="B750" s="19"/>
    </row>
    <row r="751" ht="15.75" customHeight="1">
      <c r="B751" s="19"/>
    </row>
    <row r="752" ht="15.75" customHeight="1">
      <c r="B752" s="19"/>
    </row>
    <row r="753" ht="15.75" customHeight="1">
      <c r="B753" s="19"/>
    </row>
    <row r="754" ht="15.75" customHeight="1">
      <c r="B754" s="19"/>
    </row>
    <row r="755" ht="15.75" customHeight="1">
      <c r="B755" s="19"/>
    </row>
    <row r="756" ht="15.75" customHeight="1">
      <c r="B756" s="19"/>
    </row>
    <row r="757" ht="15.75" customHeight="1">
      <c r="B757" s="19"/>
    </row>
    <row r="758" ht="15.75" customHeight="1">
      <c r="B758" s="19"/>
    </row>
    <row r="759" ht="15.75" customHeight="1">
      <c r="B759" s="19"/>
    </row>
    <row r="760" ht="15.75" customHeight="1">
      <c r="B760" s="19"/>
    </row>
    <row r="761" ht="15.75" customHeight="1">
      <c r="B761" s="19"/>
    </row>
    <row r="762" ht="15.75" customHeight="1">
      <c r="B762" s="19"/>
    </row>
    <row r="763" ht="15.75" customHeight="1">
      <c r="B763" s="19"/>
    </row>
    <row r="764" ht="15.75" customHeight="1">
      <c r="B764" s="19"/>
    </row>
    <row r="765" ht="15.75" customHeight="1">
      <c r="B765" s="19"/>
    </row>
    <row r="766" ht="15.75" customHeight="1">
      <c r="B766" s="19"/>
    </row>
    <row r="767" ht="15.75" customHeight="1">
      <c r="B767" s="19"/>
    </row>
    <row r="768" ht="15.75" customHeight="1">
      <c r="B768" s="19"/>
    </row>
    <row r="769" ht="15.75" customHeight="1">
      <c r="B769" s="19"/>
    </row>
    <row r="770" ht="15.75" customHeight="1">
      <c r="B770" s="19"/>
    </row>
    <row r="771" ht="15.75" customHeight="1">
      <c r="B771" s="19"/>
    </row>
    <row r="772" ht="15.75" customHeight="1">
      <c r="B772" s="19"/>
    </row>
    <row r="773" ht="15.75" customHeight="1">
      <c r="B773" s="19"/>
    </row>
    <row r="774" ht="15.75" customHeight="1">
      <c r="B774" s="19"/>
    </row>
    <row r="775" ht="15.75" customHeight="1">
      <c r="B775" s="19"/>
    </row>
    <row r="776" ht="15.75" customHeight="1">
      <c r="B776" s="19"/>
    </row>
    <row r="777" ht="15.75" customHeight="1">
      <c r="B777" s="19"/>
    </row>
    <row r="778" ht="15.75" customHeight="1">
      <c r="B778" s="19"/>
    </row>
    <row r="779" ht="15.75" customHeight="1">
      <c r="B779" s="19"/>
    </row>
    <row r="780" ht="15.75" customHeight="1">
      <c r="B780" s="19"/>
    </row>
    <row r="781" ht="15.75" customHeight="1">
      <c r="B781" s="19"/>
    </row>
    <row r="782" ht="15.75" customHeight="1">
      <c r="B782" s="19"/>
    </row>
    <row r="783" ht="15.75" customHeight="1">
      <c r="B783" s="19"/>
    </row>
    <row r="784" ht="15.75" customHeight="1">
      <c r="B784" s="19"/>
    </row>
    <row r="785" ht="15.75" customHeight="1">
      <c r="B785" s="19"/>
    </row>
    <row r="786" ht="15.75" customHeight="1">
      <c r="B786" s="19"/>
    </row>
    <row r="787" ht="15.75" customHeight="1">
      <c r="B787" s="19"/>
    </row>
    <row r="788" ht="15.75" customHeight="1">
      <c r="B788" s="19"/>
    </row>
    <row r="789" ht="15.75" customHeight="1">
      <c r="B789" s="19"/>
    </row>
    <row r="790" ht="15.75" customHeight="1">
      <c r="B790" s="19"/>
    </row>
    <row r="791" ht="15.75" customHeight="1">
      <c r="B791" s="19"/>
    </row>
    <row r="792" ht="15.75" customHeight="1">
      <c r="B792" s="19"/>
    </row>
    <row r="793" ht="15.75" customHeight="1">
      <c r="B793" s="19"/>
    </row>
    <row r="794" ht="15.75" customHeight="1">
      <c r="B794" s="19"/>
    </row>
    <row r="795" ht="15.75" customHeight="1">
      <c r="B795" s="19"/>
    </row>
    <row r="796" ht="15.75" customHeight="1">
      <c r="B796" s="19"/>
    </row>
    <row r="797" ht="15.75" customHeight="1">
      <c r="B797" s="19"/>
    </row>
    <row r="798" ht="15.75" customHeight="1">
      <c r="B798" s="19"/>
    </row>
    <row r="799" ht="15.75" customHeight="1">
      <c r="B799" s="19"/>
    </row>
    <row r="800" ht="15.75" customHeight="1">
      <c r="B800" s="19"/>
    </row>
    <row r="801" ht="15.75" customHeight="1">
      <c r="B801" s="19"/>
    </row>
    <row r="802" ht="15.75" customHeight="1">
      <c r="B802" s="19"/>
    </row>
    <row r="803" ht="15.75" customHeight="1">
      <c r="B803" s="19"/>
    </row>
    <row r="804" ht="15.75" customHeight="1">
      <c r="B804" s="19"/>
    </row>
    <row r="805" ht="15.75" customHeight="1">
      <c r="B805" s="19"/>
    </row>
    <row r="806" ht="15.75" customHeight="1">
      <c r="B806" s="19"/>
    </row>
    <row r="807" ht="15.75" customHeight="1">
      <c r="B807" s="19"/>
    </row>
    <row r="808" ht="15.75" customHeight="1">
      <c r="B808" s="19"/>
    </row>
    <row r="809" ht="15.75" customHeight="1">
      <c r="B809" s="19"/>
    </row>
    <row r="810" ht="15.75" customHeight="1">
      <c r="B810" s="19"/>
    </row>
    <row r="811" ht="15.75" customHeight="1">
      <c r="B811" s="19"/>
    </row>
    <row r="812" ht="15.75" customHeight="1">
      <c r="B812" s="19"/>
    </row>
    <row r="813" ht="15.75" customHeight="1">
      <c r="B813" s="19"/>
    </row>
    <row r="814" ht="15.75" customHeight="1">
      <c r="B814" s="19"/>
    </row>
    <row r="815" ht="15.75" customHeight="1">
      <c r="B815" s="19"/>
    </row>
    <row r="816" ht="15.75" customHeight="1">
      <c r="B816" s="19"/>
    </row>
    <row r="817" ht="15.75" customHeight="1">
      <c r="B817" s="19"/>
    </row>
    <row r="818" ht="15.75" customHeight="1">
      <c r="B818" s="19"/>
    </row>
    <row r="819" ht="15.75" customHeight="1">
      <c r="B819" s="19"/>
    </row>
    <row r="820" ht="15.75" customHeight="1">
      <c r="B820" s="19"/>
    </row>
    <row r="821" ht="15.75" customHeight="1">
      <c r="B821" s="19"/>
    </row>
    <row r="822" ht="15.75" customHeight="1">
      <c r="B822" s="19"/>
    </row>
    <row r="823" ht="15.75" customHeight="1">
      <c r="B823" s="19"/>
    </row>
    <row r="824" ht="15.75" customHeight="1">
      <c r="B824" s="19"/>
    </row>
    <row r="825" ht="15.75" customHeight="1">
      <c r="B825" s="19"/>
    </row>
    <row r="826" ht="15.75" customHeight="1">
      <c r="B826" s="19"/>
    </row>
    <row r="827" ht="15.75" customHeight="1">
      <c r="B827" s="19"/>
    </row>
    <row r="828" ht="15.75" customHeight="1">
      <c r="B828" s="19"/>
    </row>
    <row r="829" ht="15.75" customHeight="1">
      <c r="B829" s="19"/>
    </row>
    <row r="830" ht="15.75" customHeight="1">
      <c r="B830" s="19"/>
    </row>
    <row r="831" ht="15.75" customHeight="1">
      <c r="B831" s="19"/>
    </row>
    <row r="832" ht="15.75" customHeight="1">
      <c r="B832" s="19"/>
    </row>
    <row r="833" ht="15.75" customHeight="1">
      <c r="B833" s="19"/>
    </row>
    <row r="834" ht="15.75" customHeight="1">
      <c r="B834" s="19"/>
    </row>
    <row r="835" ht="15.75" customHeight="1">
      <c r="B835" s="19"/>
    </row>
    <row r="836" ht="15.75" customHeight="1">
      <c r="B836" s="19"/>
    </row>
    <row r="837" ht="15.75" customHeight="1">
      <c r="B837" s="19"/>
    </row>
    <row r="838" ht="15.75" customHeight="1">
      <c r="B838" s="19"/>
    </row>
    <row r="839" ht="15.75" customHeight="1">
      <c r="B839" s="19"/>
    </row>
    <row r="840" ht="15.75" customHeight="1">
      <c r="B840" s="19"/>
    </row>
    <row r="841" ht="15.75" customHeight="1">
      <c r="B841" s="19"/>
    </row>
    <row r="842" ht="15.75" customHeight="1">
      <c r="B842" s="19"/>
    </row>
    <row r="843" ht="15.75" customHeight="1">
      <c r="B843" s="19"/>
    </row>
    <row r="844" ht="15.75" customHeight="1">
      <c r="B844" s="19"/>
    </row>
    <row r="845" ht="15.75" customHeight="1">
      <c r="B845" s="19"/>
    </row>
    <row r="846" ht="15.75" customHeight="1">
      <c r="B846" s="19"/>
    </row>
    <row r="847" ht="15.75" customHeight="1">
      <c r="B847" s="19"/>
    </row>
    <row r="848" ht="15.75" customHeight="1">
      <c r="B848" s="19"/>
    </row>
    <row r="849" ht="15.75" customHeight="1">
      <c r="B849" s="19"/>
    </row>
    <row r="850" ht="15.75" customHeight="1">
      <c r="B850" s="19"/>
    </row>
    <row r="851" ht="15.75" customHeight="1">
      <c r="B851" s="19"/>
    </row>
    <row r="852" ht="15.75" customHeight="1">
      <c r="B852" s="19"/>
    </row>
    <row r="853" ht="15.75" customHeight="1">
      <c r="B853" s="19"/>
    </row>
    <row r="854" ht="15.75" customHeight="1">
      <c r="B854" s="19"/>
    </row>
    <row r="855" ht="15.75" customHeight="1">
      <c r="B855" s="19"/>
    </row>
    <row r="856" ht="15.75" customHeight="1">
      <c r="B856" s="19"/>
    </row>
    <row r="857" ht="15.75" customHeight="1">
      <c r="B857" s="19"/>
    </row>
    <row r="858" ht="15.75" customHeight="1">
      <c r="B858" s="19"/>
    </row>
    <row r="859" ht="15.75" customHeight="1">
      <c r="B859" s="19"/>
    </row>
    <row r="860" ht="15.75" customHeight="1">
      <c r="B860" s="19"/>
    </row>
    <row r="861" ht="15.75" customHeight="1">
      <c r="B861" s="19"/>
    </row>
    <row r="862" ht="15.75" customHeight="1">
      <c r="B862" s="19"/>
    </row>
    <row r="863" ht="15.75" customHeight="1">
      <c r="B863" s="19"/>
    </row>
    <row r="864" ht="15.75" customHeight="1">
      <c r="B864" s="19"/>
    </row>
    <row r="865" ht="15.75" customHeight="1">
      <c r="B865" s="19"/>
    </row>
    <row r="866" ht="15.75" customHeight="1">
      <c r="B866" s="19"/>
    </row>
    <row r="867" ht="15.75" customHeight="1">
      <c r="B867" s="19"/>
    </row>
    <row r="868" ht="15.75" customHeight="1">
      <c r="B868" s="19"/>
    </row>
    <row r="869" ht="15.75" customHeight="1">
      <c r="B869" s="19"/>
    </row>
    <row r="870" ht="15.75" customHeight="1">
      <c r="B870" s="19"/>
    </row>
    <row r="871" ht="15.75" customHeight="1">
      <c r="B871" s="19"/>
    </row>
    <row r="872" ht="15.75" customHeight="1">
      <c r="B872" s="19"/>
    </row>
    <row r="873" ht="15.75" customHeight="1">
      <c r="B873" s="19"/>
    </row>
    <row r="874" ht="15.75" customHeight="1">
      <c r="B874" s="19"/>
    </row>
    <row r="875" ht="15.75" customHeight="1">
      <c r="B875" s="19"/>
    </row>
    <row r="876" ht="15.75" customHeight="1">
      <c r="B876" s="19"/>
    </row>
    <row r="877" ht="15.75" customHeight="1">
      <c r="B877" s="19"/>
    </row>
    <row r="878" ht="15.75" customHeight="1">
      <c r="B878" s="19"/>
    </row>
    <row r="879" ht="15.75" customHeight="1">
      <c r="B879" s="19"/>
    </row>
    <row r="880" ht="15.75" customHeight="1">
      <c r="B880" s="19"/>
    </row>
    <row r="881" ht="15.75" customHeight="1">
      <c r="B881" s="19"/>
    </row>
    <row r="882" ht="15.75" customHeight="1">
      <c r="B882" s="19"/>
    </row>
    <row r="883" ht="15.75" customHeight="1">
      <c r="B883" s="19"/>
    </row>
    <row r="884" ht="15.75" customHeight="1">
      <c r="B884" s="19"/>
    </row>
    <row r="885" ht="15.75" customHeight="1">
      <c r="B885" s="19"/>
    </row>
    <row r="886" ht="15.75" customHeight="1">
      <c r="B886" s="19"/>
    </row>
    <row r="887" ht="15.75" customHeight="1">
      <c r="B887" s="19"/>
    </row>
    <row r="888" ht="15.75" customHeight="1">
      <c r="B888" s="19"/>
    </row>
    <row r="889" ht="15.75" customHeight="1">
      <c r="B889" s="19"/>
    </row>
    <row r="890" ht="15.75" customHeight="1">
      <c r="B890" s="19"/>
    </row>
    <row r="891" ht="15.75" customHeight="1">
      <c r="B891" s="19"/>
    </row>
    <row r="892" ht="15.75" customHeight="1">
      <c r="B892" s="19"/>
    </row>
    <row r="893" ht="15.75" customHeight="1">
      <c r="B893" s="19"/>
    </row>
    <row r="894" ht="15.75" customHeight="1">
      <c r="B894" s="19"/>
    </row>
    <row r="895" ht="15.75" customHeight="1">
      <c r="B895" s="19"/>
    </row>
    <row r="896" ht="15.75" customHeight="1">
      <c r="B896" s="19"/>
    </row>
    <row r="897" ht="15.75" customHeight="1">
      <c r="B897" s="19"/>
    </row>
    <row r="898" ht="15.75" customHeight="1">
      <c r="B898" s="19"/>
    </row>
    <row r="899" ht="15.75" customHeight="1">
      <c r="B899" s="19"/>
    </row>
    <row r="900" ht="15.75" customHeight="1">
      <c r="B900" s="19"/>
    </row>
    <row r="901" ht="15.75" customHeight="1">
      <c r="B901" s="19"/>
    </row>
    <row r="902" ht="15.75" customHeight="1">
      <c r="B902" s="19"/>
    </row>
    <row r="903" ht="15.75" customHeight="1">
      <c r="B903" s="19"/>
    </row>
    <row r="904" ht="15.75" customHeight="1">
      <c r="B904" s="19"/>
    </row>
    <row r="905" ht="15.75" customHeight="1">
      <c r="B905" s="19"/>
    </row>
    <row r="906" ht="15.75" customHeight="1">
      <c r="B906" s="19"/>
    </row>
    <row r="907" ht="15.75" customHeight="1">
      <c r="B907" s="19"/>
    </row>
    <row r="908" ht="15.75" customHeight="1">
      <c r="B908" s="19"/>
    </row>
    <row r="909" ht="15.75" customHeight="1">
      <c r="B909" s="19"/>
    </row>
    <row r="910" ht="15.75" customHeight="1">
      <c r="B910" s="19"/>
    </row>
    <row r="911" ht="15.75" customHeight="1">
      <c r="B911" s="19"/>
    </row>
    <row r="912" ht="15.75" customHeight="1">
      <c r="B912" s="19"/>
    </row>
    <row r="913" ht="15.75" customHeight="1">
      <c r="B913" s="19"/>
    </row>
    <row r="914" ht="15.75" customHeight="1">
      <c r="B914" s="19"/>
    </row>
    <row r="915" ht="15.75" customHeight="1">
      <c r="B915" s="19"/>
    </row>
    <row r="916" ht="15.75" customHeight="1">
      <c r="B916" s="19"/>
    </row>
    <row r="917" ht="15.75" customHeight="1">
      <c r="B917" s="19"/>
    </row>
    <row r="918" ht="15.75" customHeight="1">
      <c r="B918" s="19"/>
    </row>
    <row r="919" ht="15.75" customHeight="1">
      <c r="B919" s="19"/>
    </row>
    <row r="920" ht="15.75" customHeight="1">
      <c r="B920" s="19"/>
    </row>
    <row r="921" ht="15.75" customHeight="1">
      <c r="B921" s="19"/>
    </row>
    <row r="922" ht="15.75" customHeight="1">
      <c r="B922" s="19"/>
    </row>
    <row r="923" ht="15.75" customHeight="1">
      <c r="B923" s="19"/>
    </row>
    <row r="924" ht="15.75" customHeight="1">
      <c r="B924" s="19"/>
    </row>
    <row r="925" ht="15.75" customHeight="1">
      <c r="B925" s="19"/>
    </row>
    <row r="926" ht="15.75" customHeight="1">
      <c r="B926" s="19"/>
    </row>
    <row r="927" ht="15.75" customHeight="1">
      <c r="B927" s="19"/>
    </row>
    <row r="928" ht="15.75" customHeight="1">
      <c r="B928" s="19"/>
    </row>
    <row r="929" ht="15.75" customHeight="1">
      <c r="B929" s="19"/>
    </row>
    <row r="930" ht="15.75" customHeight="1">
      <c r="B930" s="19"/>
    </row>
    <row r="931" ht="15.75" customHeight="1">
      <c r="B931" s="19"/>
    </row>
    <row r="932" ht="15.75" customHeight="1">
      <c r="B932" s="19"/>
    </row>
    <row r="933" ht="15.75" customHeight="1">
      <c r="B933" s="19"/>
    </row>
    <row r="934" ht="15.75" customHeight="1">
      <c r="B934" s="19"/>
    </row>
    <row r="935" ht="15.75" customHeight="1">
      <c r="B935" s="19"/>
    </row>
    <row r="936" ht="15.75" customHeight="1">
      <c r="B936" s="19"/>
    </row>
    <row r="937" ht="15.75" customHeight="1">
      <c r="B937" s="19"/>
    </row>
    <row r="938" ht="15.75" customHeight="1">
      <c r="B938" s="19"/>
    </row>
    <row r="939" ht="15.75" customHeight="1">
      <c r="B939" s="19"/>
    </row>
    <row r="940" ht="15.75" customHeight="1">
      <c r="B940" s="19"/>
    </row>
    <row r="941" ht="15.75" customHeight="1">
      <c r="B941" s="19"/>
    </row>
    <row r="942" ht="15.75" customHeight="1">
      <c r="B942" s="19"/>
    </row>
    <row r="943" ht="15.75" customHeight="1">
      <c r="B943" s="19"/>
    </row>
    <row r="944" ht="15.75" customHeight="1">
      <c r="B944" s="19"/>
    </row>
    <row r="945" ht="15.75" customHeight="1">
      <c r="B945" s="19"/>
    </row>
    <row r="946" ht="15.75" customHeight="1">
      <c r="B946" s="19"/>
    </row>
    <row r="947" ht="15.75" customHeight="1">
      <c r="B947" s="19"/>
    </row>
    <row r="948" ht="15.75" customHeight="1">
      <c r="B948" s="19"/>
    </row>
    <row r="949" ht="15.75" customHeight="1">
      <c r="B949" s="19"/>
    </row>
    <row r="950" ht="15.75" customHeight="1">
      <c r="B950" s="19"/>
    </row>
    <row r="951" ht="15.75" customHeight="1">
      <c r="B951" s="19"/>
    </row>
    <row r="952" ht="15.75" customHeight="1">
      <c r="B952" s="19"/>
    </row>
    <row r="953" ht="15.75" customHeight="1">
      <c r="B953" s="19"/>
    </row>
    <row r="954" ht="15.75" customHeight="1">
      <c r="B954" s="19"/>
    </row>
    <row r="955" ht="15.75" customHeight="1">
      <c r="B955" s="19"/>
    </row>
    <row r="956" ht="15.75" customHeight="1">
      <c r="B956" s="19"/>
    </row>
    <row r="957" ht="15.75" customHeight="1">
      <c r="B957" s="19"/>
    </row>
    <row r="958" ht="15.75" customHeight="1">
      <c r="B958" s="19"/>
    </row>
    <row r="959" ht="15.75" customHeight="1">
      <c r="B959" s="19"/>
    </row>
    <row r="960" ht="15.75" customHeight="1">
      <c r="B960" s="19"/>
    </row>
    <row r="961" ht="15.75" customHeight="1">
      <c r="B961" s="19"/>
    </row>
    <row r="962" ht="15.75" customHeight="1">
      <c r="B962" s="19"/>
    </row>
    <row r="963" ht="15.75" customHeight="1">
      <c r="B963" s="19"/>
    </row>
    <row r="964" ht="15.75" customHeight="1">
      <c r="B964" s="19"/>
    </row>
    <row r="965" ht="15.75" customHeight="1">
      <c r="B965" s="19"/>
    </row>
    <row r="966" ht="15.75" customHeight="1">
      <c r="B966" s="19"/>
    </row>
    <row r="967" ht="15.75" customHeight="1">
      <c r="B967" s="19"/>
    </row>
    <row r="968" ht="15.75" customHeight="1">
      <c r="B968" s="19"/>
    </row>
    <row r="969" ht="15.75" customHeight="1">
      <c r="B969" s="19"/>
    </row>
    <row r="970" ht="15.75" customHeight="1">
      <c r="B970" s="19"/>
    </row>
    <row r="971" ht="15.75" customHeight="1">
      <c r="B971" s="19"/>
    </row>
    <row r="972" ht="15.75" customHeight="1">
      <c r="B972" s="19"/>
    </row>
    <row r="973" ht="15.75" customHeight="1">
      <c r="B973" s="19"/>
    </row>
    <row r="974" ht="15.75" customHeight="1">
      <c r="B974" s="19"/>
    </row>
    <row r="975" ht="15.75" customHeight="1">
      <c r="B975" s="19"/>
    </row>
    <row r="976" ht="15.75" customHeight="1">
      <c r="B976" s="19"/>
    </row>
    <row r="977" ht="15.75" customHeight="1">
      <c r="B977" s="19"/>
    </row>
    <row r="978" ht="15.75" customHeight="1">
      <c r="B978" s="19"/>
    </row>
    <row r="979" ht="15.75" customHeight="1">
      <c r="B979" s="19"/>
    </row>
    <row r="980" ht="15.75" customHeight="1">
      <c r="B980" s="19"/>
    </row>
    <row r="981" ht="15.75" customHeight="1">
      <c r="B981" s="19"/>
    </row>
    <row r="982" ht="15.75" customHeight="1">
      <c r="B982" s="19"/>
    </row>
    <row r="983" ht="15.75" customHeight="1">
      <c r="B983" s="19"/>
    </row>
    <row r="984" ht="15.75" customHeight="1">
      <c r="B984" s="19"/>
    </row>
    <row r="985" ht="15.75" customHeight="1">
      <c r="B985" s="19"/>
    </row>
    <row r="986" ht="15.75" customHeight="1">
      <c r="B986" s="19"/>
    </row>
    <row r="987" ht="15.75" customHeight="1">
      <c r="B987" s="19"/>
    </row>
    <row r="988" ht="15.75" customHeight="1">
      <c r="B988" s="19"/>
    </row>
    <row r="989" ht="15.75" customHeight="1">
      <c r="B989" s="19"/>
    </row>
    <row r="990" ht="15.75" customHeight="1">
      <c r="B990" s="19"/>
    </row>
    <row r="991" ht="15.75" customHeight="1">
      <c r="B991" s="19"/>
    </row>
    <row r="992" ht="15.75" customHeight="1">
      <c r="B992" s="19"/>
    </row>
    <row r="993" ht="15.75" customHeight="1">
      <c r="B993" s="19"/>
    </row>
    <row r="994" ht="15.75" customHeight="1">
      <c r="B994" s="19"/>
    </row>
    <row r="995" ht="15.75" customHeight="1">
      <c r="B995" s="19"/>
    </row>
    <row r="996" ht="15.75" customHeight="1">
      <c r="B996" s="19"/>
    </row>
    <row r="997" ht="15.75" customHeight="1">
      <c r="B997" s="19"/>
    </row>
    <row r="998" ht="15.75" customHeight="1">
      <c r="B998" s="19"/>
    </row>
  </sheetData>
  <mergeCells count="6">
    <mergeCell ref="A1:B1"/>
    <mergeCell ref="A3:B3"/>
    <mergeCell ref="A25:B25"/>
    <mergeCell ref="A49:B49"/>
    <mergeCell ref="A65:B65"/>
    <mergeCell ref="A78:B7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35.14"/>
    <col customWidth="1" min="3" max="3" width="14.86"/>
    <col customWidth="1" min="4" max="4" width="34.43"/>
    <col customWidth="1" min="5" max="5" width="38.29"/>
    <col customWidth="1" min="6" max="6" width="31.57"/>
    <col customWidth="1" min="7" max="7" width="84.14"/>
    <col customWidth="1" min="8" max="8" width="73.0"/>
    <col customWidth="1" min="9" max="26" width="11.0"/>
  </cols>
  <sheetData>
    <row r="1">
      <c r="A1" s="20" t="s">
        <v>140</v>
      </c>
      <c r="B1" s="20" t="s">
        <v>141</v>
      </c>
      <c r="C1" s="20" t="s">
        <v>142</v>
      </c>
      <c r="D1" s="20" t="s">
        <v>143</v>
      </c>
      <c r="E1" s="21" t="s">
        <v>144</v>
      </c>
      <c r="F1" s="22" t="s">
        <v>145</v>
      </c>
      <c r="G1" s="23" t="s">
        <v>146</v>
      </c>
      <c r="H1" s="24" t="s">
        <v>147</v>
      </c>
    </row>
    <row r="2" ht="22.5" hidden="1" customHeight="1">
      <c r="A2" s="25" t="s">
        <v>148</v>
      </c>
      <c r="B2" s="26">
        <v>5.52226232064E11</v>
      </c>
      <c r="C2" s="26" t="s">
        <v>149</v>
      </c>
      <c r="D2" s="26" t="s">
        <v>150</v>
      </c>
      <c r="E2" s="27" t="s">
        <v>72</v>
      </c>
      <c r="F2" s="26" t="s">
        <v>151</v>
      </c>
      <c r="G2" s="25" t="s">
        <v>152</v>
      </c>
      <c r="H2" s="25" t="s">
        <v>153</v>
      </c>
    </row>
    <row r="3" ht="22.5" hidden="1" customHeight="1">
      <c r="A3" s="25" t="s">
        <v>154</v>
      </c>
      <c r="B3" s="26">
        <v>5.51150930178E11</v>
      </c>
      <c r="C3" s="26" t="s">
        <v>155</v>
      </c>
      <c r="D3" s="26" t="s">
        <v>156</v>
      </c>
      <c r="E3" s="27" t="s">
        <v>108</v>
      </c>
      <c r="F3" s="26" t="s">
        <v>151</v>
      </c>
      <c r="G3" s="28" t="s">
        <v>157</v>
      </c>
      <c r="H3" s="25" t="s">
        <v>158</v>
      </c>
    </row>
    <row r="4" ht="22.5" hidden="1" customHeight="1">
      <c r="A4" s="28" t="s">
        <v>159</v>
      </c>
      <c r="B4" s="29">
        <f>5548991471916</f>
        <v>5548991471916</v>
      </c>
      <c r="C4" s="26" t="s">
        <v>160</v>
      </c>
      <c r="D4" s="26" t="s">
        <v>161</v>
      </c>
      <c r="E4" s="27">
        <v>90.0</v>
      </c>
      <c r="F4" s="26" t="s">
        <v>162</v>
      </c>
      <c r="G4" s="25" t="s">
        <v>163</v>
      </c>
      <c r="H4" s="25" t="s">
        <v>164</v>
      </c>
    </row>
    <row r="5" ht="22.5" hidden="1" customHeight="1">
      <c r="A5" s="25" t="s">
        <v>165</v>
      </c>
      <c r="B5" s="26">
        <v>5.531991749457E12</v>
      </c>
      <c r="C5" s="26" t="s">
        <v>166</v>
      </c>
      <c r="D5" s="26" t="s">
        <v>167</v>
      </c>
      <c r="E5" s="27">
        <v>69.9</v>
      </c>
      <c r="F5" s="26" t="s">
        <v>151</v>
      </c>
      <c r="G5" s="25" t="s">
        <v>168</v>
      </c>
      <c r="H5" s="25" t="s">
        <v>158</v>
      </c>
    </row>
    <row r="6" ht="22.5" hidden="1" customHeight="1">
      <c r="A6" s="30" t="s">
        <v>169</v>
      </c>
      <c r="B6" s="31">
        <f>558131272015</f>
        <v>558131272015</v>
      </c>
      <c r="C6" s="31" t="s">
        <v>170</v>
      </c>
      <c r="D6" s="31" t="s">
        <v>171</v>
      </c>
      <c r="E6" s="32" t="s">
        <v>108</v>
      </c>
      <c r="F6" s="31" t="s">
        <v>151</v>
      </c>
      <c r="G6" s="33" t="s">
        <v>172</v>
      </c>
      <c r="H6" s="25" t="s">
        <v>173</v>
      </c>
    </row>
    <row r="7" ht="22.5" hidden="1" customHeight="1">
      <c r="A7" s="34" t="s">
        <v>174</v>
      </c>
      <c r="B7" s="31" t="s">
        <v>175</v>
      </c>
      <c r="C7" s="31" t="s">
        <v>155</v>
      </c>
      <c r="D7" s="31" t="s">
        <v>176</v>
      </c>
      <c r="E7" s="32" t="s">
        <v>19</v>
      </c>
      <c r="F7" s="31" t="s">
        <v>151</v>
      </c>
      <c r="G7" s="33" t="s">
        <v>177</v>
      </c>
      <c r="H7" s="25" t="s">
        <v>178</v>
      </c>
    </row>
    <row r="8" ht="22.5" hidden="1" customHeight="1">
      <c r="A8" s="35" t="s">
        <v>179</v>
      </c>
      <c r="B8" s="36">
        <v>5.57332311835E11</v>
      </c>
      <c r="C8" s="36" t="s">
        <v>180</v>
      </c>
      <c r="D8" s="36" t="s">
        <v>181</v>
      </c>
      <c r="E8" s="37" t="s">
        <v>106</v>
      </c>
      <c r="F8" s="31" t="s">
        <v>182</v>
      </c>
      <c r="G8" s="33" t="s">
        <v>183</v>
      </c>
      <c r="H8" s="25" t="s">
        <v>184</v>
      </c>
    </row>
    <row r="9" ht="22.5" hidden="1" customHeight="1">
      <c r="A9" s="35" t="s">
        <v>185</v>
      </c>
      <c r="B9" s="36">
        <v>5.581997551992E12</v>
      </c>
      <c r="C9" s="36" t="s">
        <v>170</v>
      </c>
      <c r="D9" s="36" t="s">
        <v>186</v>
      </c>
      <c r="E9" s="37" t="s">
        <v>110</v>
      </c>
      <c r="F9" s="36" t="s">
        <v>151</v>
      </c>
      <c r="G9" s="38" t="s">
        <v>187</v>
      </c>
      <c r="H9" s="25" t="s">
        <v>188</v>
      </c>
    </row>
    <row r="10" ht="22.5" hidden="1" customHeight="1">
      <c r="A10" s="39" t="s">
        <v>189</v>
      </c>
      <c r="B10" s="36">
        <v>5.581997820509E12</v>
      </c>
      <c r="C10" s="31" t="s">
        <v>170</v>
      </c>
      <c r="D10" s="31" t="s">
        <v>186</v>
      </c>
      <c r="E10" s="32" t="s">
        <v>190</v>
      </c>
      <c r="F10" s="36" t="s">
        <v>182</v>
      </c>
      <c r="G10" s="38" t="s">
        <v>191</v>
      </c>
      <c r="H10" s="25" t="s">
        <v>192</v>
      </c>
    </row>
    <row r="11" ht="22.5" hidden="1" customHeight="1">
      <c r="A11" s="35" t="s">
        <v>193</v>
      </c>
      <c r="B11" s="36">
        <v>5.54133388087E11</v>
      </c>
      <c r="C11" s="36" t="s">
        <v>194</v>
      </c>
      <c r="D11" s="36" t="s">
        <v>195</v>
      </c>
      <c r="E11" s="37" t="s">
        <v>5</v>
      </c>
      <c r="F11" s="36" t="s">
        <v>196</v>
      </c>
      <c r="G11" s="38" t="s">
        <v>197</v>
      </c>
      <c r="H11" s="25" t="s">
        <v>198</v>
      </c>
    </row>
    <row r="12" ht="22.5" hidden="1" customHeight="1">
      <c r="A12" s="25" t="s">
        <v>199</v>
      </c>
      <c r="B12" s="26">
        <v>5.5832182905E11</v>
      </c>
      <c r="C12" s="26" t="s">
        <v>200</v>
      </c>
      <c r="D12" s="26" t="s">
        <v>201</v>
      </c>
      <c r="E12" s="27" t="s">
        <v>108</v>
      </c>
      <c r="F12" s="26" t="s">
        <v>196</v>
      </c>
      <c r="G12" s="25" t="s">
        <v>202</v>
      </c>
      <c r="H12" s="25" t="s">
        <v>203</v>
      </c>
    </row>
    <row r="13" ht="22.5" hidden="1" customHeight="1">
      <c r="A13" s="25" t="s">
        <v>204</v>
      </c>
      <c r="B13" s="26">
        <v>5.585981151052E12</v>
      </c>
      <c r="C13" s="26" t="s">
        <v>205</v>
      </c>
      <c r="D13" s="26" t="s">
        <v>206</v>
      </c>
      <c r="E13" s="27" t="s">
        <v>207</v>
      </c>
      <c r="F13" s="26" t="s">
        <v>151</v>
      </c>
      <c r="G13" s="25" t="s">
        <v>208</v>
      </c>
      <c r="H13" s="25" t="s">
        <v>209</v>
      </c>
    </row>
    <row r="14" ht="22.5" hidden="1" customHeight="1">
      <c r="A14" s="40" t="s">
        <v>210</v>
      </c>
      <c r="B14" s="36" t="s">
        <v>211</v>
      </c>
      <c r="C14" s="36" t="s">
        <v>212</v>
      </c>
      <c r="D14" s="36" t="s">
        <v>213</v>
      </c>
      <c r="E14" s="32" t="s">
        <v>106</v>
      </c>
      <c r="F14" s="36" t="s">
        <v>151</v>
      </c>
      <c r="G14" s="38" t="s">
        <v>214</v>
      </c>
      <c r="H14" s="33" t="s">
        <v>215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22.5" hidden="1" customHeight="1">
      <c r="A15" s="28" t="s">
        <v>216</v>
      </c>
      <c r="B15" s="26" t="s">
        <v>217</v>
      </c>
      <c r="C15" s="26" t="s">
        <v>212</v>
      </c>
      <c r="D15" s="26" t="s">
        <v>218</v>
      </c>
      <c r="E15" s="27" t="s">
        <v>219</v>
      </c>
      <c r="F15" s="36" t="s">
        <v>151</v>
      </c>
      <c r="G15" s="25" t="s">
        <v>220</v>
      </c>
      <c r="H15" s="25" t="s">
        <v>221</v>
      </c>
    </row>
    <row r="16" ht="30.0" hidden="1" customHeight="1">
      <c r="A16" s="25" t="s">
        <v>222</v>
      </c>
      <c r="B16" s="26">
        <v>2.7998593176E10</v>
      </c>
      <c r="C16" s="26" t="s">
        <v>212</v>
      </c>
      <c r="D16" s="26" t="s">
        <v>223</v>
      </c>
      <c r="E16" s="27" t="s">
        <v>224</v>
      </c>
      <c r="F16" s="26" t="s">
        <v>225</v>
      </c>
      <c r="G16" s="25" t="s">
        <v>226</v>
      </c>
      <c r="H16" s="25" t="s">
        <v>227</v>
      </c>
    </row>
    <row r="17" ht="28.5" hidden="1" customHeight="1">
      <c r="A17" s="25" t="s">
        <v>228</v>
      </c>
      <c r="B17" s="26" t="s">
        <v>229</v>
      </c>
      <c r="C17" s="26" t="s">
        <v>230</v>
      </c>
      <c r="D17" s="26" t="s">
        <v>231</v>
      </c>
      <c r="E17" s="27" t="s">
        <v>232</v>
      </c>
      <c r="F17" s="26" t="s">
        <v>233</v>
      </c>
      <c r="G17" s="25" t="s">
        <v>234</v>
      </c>
      <c r="H17" s="25" t="s">
        <v>235</v>
      </c>
    </row>
    <row r="18" ht="27.75" hidden="1" customHeight="1">
      <c r="A18" s="25" t="s">
        <v>236</v>
      </c>
      <c r="B18" s="26" t="s">
        <v>237</v>
      </c>
      <c r="C18" s="26" t="s">
        <v>230</v>
      </c>
      <c r="D18" s="26" t="s">
        <v>231</v>
      </c>
      <c r="E18" s="27" t="s">
        <v>238</v>
      </c>
      <c r="F18" s="26" t="s">
        <v>151</v>
      </c>
      <c r="G18" s="25" t="s">
        <v>239</v>
      </c>
      <c r="H18" s="25" t="s">
        <v>240</v>
      </c>
    </row>
    <row r="19" ht="22.5" hidden="1" customHeight="1">
      <c r="A19" s="42" t="s">
        <v>241</v>
      </c>
      <c r="B19" s="31">
        <v>5.57930241001E11</v>
      </c>
      <c r="C19" s="31" t="s">
        <v>242</v>
      </c>
      <c r="D19" s="31" t="s">
        <v>243</v>
      </c>
      <c r="E19" s="32" t="s">
        <v>244</v>
      </c>
      <c r="F19" s="31" t="s">
        <v>151</v>
      </c>
      <c r="G19" s="25" t="s">
        <v>245</v>
      </c>
      <c r="H19" s="25" t="s">
        <v>246</v>
      </c>
    </row>
    <row r="20" ht="22.5" hidden="1" customHeight="1">
      <c r="A20" s="25" t="s">
        <v>247</v>
      </c>
      <c r="B20" s="26">
        <v>5.58230285726E11</v>
      </c>
      <c r="C20" s="26" t="s">
        <v>248</v>
      </c>
      <c r="D20" s="26" t="s">
        <v>249</v>
      </c>
      <c r="E20" s="27" t="s">
        <v>207</v>
      </c>
      <c r="F20" s="26" t="s">
        <v>151</v>
      </c>
      <c r="G20" s="25" t="s">
        <v>250</v>
      </c>
      <c r="H20" s="25" t="s">
        <v>251</v>
      </c>
    </row>
    <row r="21" ht="22.5" hidden="1" customHeight="1">
      <c r="A21" s="28" t="s">
        <v>252</v>
      </c>
      <c r="B21" s="26">
        <v>5.5823022008E11</v>
      </c>
      <c r="C21" s="26" t="s">
        <v>248</v>
      </c>
      <c r="D21" s="26" t="s">
        <v>249</v>
      </c>
      <c r="E21" s="27" t="s">
        <v>207</v>
      </c>
      <c r="F21" s="26" t="s">
        <v>182</v>
      </c>
      <c r="G21" s="25" t="s">
        <v>253</v>
      </c>
      <c r="H21" s="25" t="s">
        <v>246</v>
      </c>
    </row>
    <row r="22" ht="22.5" hidden="1" customHeight="1">
      <c r="A22" s="25" t="s">
        <v>254</v>
      </c>
      <c r="B22" s="26">
        <v>5.5823223304E11</v>
      </c>
      <c r="C22" s="26" t="s">
        <v>248</v>
      </c>
      <c r="D22" s="26" t="s">
        <v>249</v>
      </c>
      <c r="E22" s="27" t="s">
        <v>255</v>
      </c>
      <c r="F22" s="26" t="s">
        <v>151</v>
      </c>
      <c r="G22" s="25" t="s">
        <v>256</v>
      </c>
      <c r="H22" s="25" t="s">
        <v>251</v>
      </c>
    </row>
    <row r="23" ht="22.5" hidden="1" customHeight="1">
      <c r="A23" s="25" t="s">
        <v>257</v>
      </c>
      <c r="B23" s="26">
        <v>5.58233279082E11</v>
      </c>
      <c r="C23" s="26" t="s">
        <v>248</v>
      </c>
      <c r="D23" s="26" t="s">
        <v>249</v>
      </c>
      <c r="E23" s="27" t="s">
        <v>5</v>
      </c>
      <c r="F23" s="26" t="s">
        <v>196</v>
      </c>
      <c r="G23" s="25" t="s">
        <v>258</v>
      </c>
      <c r="H23" s="25" t="s">
        <v>188</v>
      </c>
    </row>
    <row r="24" ht="22.5" hidden="1" customHeight="1">
      <c r="A24" s="25" t="s">
        <v>259</v>
      </c>
      <c r="B24" s="26">
        <v>5.54730414009E11</v>
      </c>
      <c r="C24" s="26" t="s">
        <v>160</v>
      </c>
      <c r="D24" s="26" t="s">
        <v>260</v>
      </c>
      <c r="E24" s="27" t="s">
        <v>108</v>
      </c>
      <c r="F24" s="26" t="s">
        <v>151</v>
      </c>
      <c r="G24" s="25" t="s">
        <v>261</v>
      </c>
      <c r="H24" s="25" t="s">
        <v>262</v>
      </c>
    </row>
    <row r="25" ht="22.5" hidden="1" customHeight="1">
      <c r="A25" s="35" t="s">
        <v>263</v>
      </c>
      <c r="B25" s="36">
        <v>5.54333241314E11</v>
      </c>
      <c r="C25" s="36" t="s">
        <v>194</v>
      </c>
      <c r="D25" s="36" t="s">
        <v>264</v>
      </c>
      <c r="E25" s="37" t="s">
        <v>72</v>
      </c>
      <c r="F25" s="36" t="s">
        <v>196</v>
      </c>
      <c r="G25" s="35" t="s">
        <v>265</v>
      </c>
      <c r="H25" s="25" t="s">
        <v>266</v>
      </c>
    </row>
    <row r="26" ht="22.5" hidden="1" customHeight="1">
      <c r="A26" s="25" t="s">
        <v>267</v>
      </c>
      <c r="B26" s="26">
        <v>5.5433327404E11</v>
      </c>
      <c r="C26" s="26" t="s">
        <v>194</v>
      </c>
      <c r="D26" s="26" t="s">
        <v>264</v>
      </c>
      <c r="E26" s="27" t="s">
        <v>72</v>
      </c>
      <c r="F26" s="26" t="s">
        <v>151</v>
      </c>
      <c r="G26" s="25" t="s">
        <v>268</v>
      </c>
      <c r="H26" s="25" t="s">
        <v>269</v>
      </c>
    </row>
    <row r="27" ht="22.5" hidden="1" customHeight="1">
      <c r="A27" s="25" t="s">
        <v>270</v>
      </c>
      <c r="B27" s="26">
        <v>5.58321789551E11</v>
      </c>
      <c r="C27" s="26" t="s">
        <v>200</v>
      </c>
      <c r="D27" s="26" t="s">
        <v>201</v>
      </c>
      <c r="E27" s="27" t="s">
        <v>123</v>
      </c>
      <c r="F27" s="26" t="s">
        <v>151</v>
      </c>
      <c r="G27" s="25" t="s">
        <v>271</v>
      </c>
      <c r="H27" s="25" t="s">
        <v>272</v>
      </c>
    </row>
    <row r="28" ht="22.5" hidden="1" customHeight="1">
      <c r="A28" s="25" t="s">
        <v>273</v>
      </c>
      <c r="B28" s="26">
        <v>5.58330340168E11</v>
      </c>
      <c r="C28" s="26" t="s">
        <v>200</v>
      </c>
      <c r="D28" s="26" t="s">
        <v>201</v>
      </c>
      <c r="E28" s="27" t="s">
        <v>274</v>
      </c>
      <c r="F28" s="26" t="s">
        <v>151</v>
      </c>
      <c r="G28" s="25" t="s">
        <v>275</v>
      </c>
      <c r="H28" s="25" t="s">
        <v>276</v>
      </c>
    </row>
    <row r="29" ht="22.5" hidden="1" customHeight="1">
      <c r="A29" s="28" t="s">
        <v>277</v>
      </c>
      <c r="B29" s="26">
        <v>5.58332442743E11</v>
      </c>
      <c r="C29" s="26" t="s">
        <v>200</v>
      </c>
      <c r="D29" s="26" t="s">
        <v>201</v>
      </c>
      <c r="E29" s="27" t="s">
        <v>72</v>
      </c>
      <c r="F29" s="26" t="s">
        <v>151</v>
      </c>
      <c r="G29" s="25" t="s">
        <v>278</v>
      </c>
      <c r="H29" s="25" t="s">
        <v>279</v>
      </c>
    </row>
    <row r="30" ht="22.5" hidden="1" customHeight="1">
      <c r="A30" s="25" t="s">
        <v>280</v>
      </c>
      <c r="B30" s="26">
        <v>5.5113816245E11</v>
      </c>
      <c r="C30" s="26" t="s">
        <v>155</v>
      </c>
      <c r="D30" s="26" t="s">
        <v>156</v>
      </c>
      <c r="E30" s="27" t="s">
        <v>281</v>
      </c>
      <c r="F30" s="26" t="s">
        <v>151</v>
      </c>
      <c r="G30" s="25" t="s">
        <v>282</v>
      </c>
      <c r="H30" s="25" t="s">
        <v>283</v>
      </c>
    </row>
    <row r="31" ht="22.5" hidden="1" customHeight="1">
      <c r="A31" s="28" t="s">
        <v>284</v>
      </c>
      <c r="B31" s="26">
        <v>5.59132234751E11</v>
      </c>
      <c r="C31" s="26" t="s">
        <v>285</v>
      </c>
      <c r="D31" s="26" t="s">
        <v>286</v>
      </c>
      <c r="E31" s="27" t="s">
        <v>274</v>
      </c>
      <c r="F31" s="26" t="s">
        <v>151</v>
      </c>
      <c r="G31" s="25" t="s">
        <v>287</v>
      </c>
      <c r="H31" s="25" t="s">
        <v>288</v>
      </c>
    </row>
    <row r="32" ht="22.5" hidden="1" customHeight="1">
      <c r="A32" s="35" t="s">
        <v>289</v>
      </c>
      <c r="B32" s="36">
        <v>5.57332885242E11</v>
      </c>
      <c r="C32" s="36" t="s">
        <v>180</v>
      </c>
      <c r="D32" s="36" t="s">
        <v>290</v>
      </c>
      <c r="E32" s="37" t="s">
        <v>5</v>
      </c>
      <c r="F32" s="36" t="s">
        <v>151</v>
      </c>
      <c r="G32" s="35" t="s">
        <v>291</v>
      </c>
      <c r="H32" s="25" t="s">
        <v>292</v>
      </c>
    </row>
    <row r="33" ht="22.5" hidden="1" customHeight="1">
      <c r="A33" s="28" t="s">
        <v>293</v>
      </c>
      <c r="B33" s="26">
        <v>5.57320140253E11</v>
      </c>
      <c r="C33" s="26" t="s">
        <v>180</v>
      </c>
      <c r="D33" s="26" t="s">
        <v>290</v>
      </c>
      <c r="E33" s="27" t="s">
        <v>72</v>
      </c>
      <c r="F33" s="26" t="s">
        <v>151</v>
      </c>
      <c r="G33" s="25" t="s">
        <v>294</v>
      </c>
      <c r="H33" s="25" t="s">
        <v>295</v>
      </c>
    </row>
    <row r="34" ht="22.5" hidden="1" customHeight="1">
      <c r="A34" s="25" t="s">
        <v>296</v>
      </c>
      <c r="B34" s="26">
        <v>5.573999312785E12</v>
      </c>
      <c r="C34" s="26" t="s">
        <v>180</v>
      </c>
      <c r="D34" s="26" t="s">
        <v>290</v>
      </c>
      <c r="E34" s="27" t="s">
        <v>108</v>
      </c>
      <c r="F34" s="26" t="s">
        <v>151</v>
      </c>
      <c r="G34" s="25" t="s">
        <v>297</v>
      </c>
      <c r="H34" s="25" t="s">
        <v>272</v>
      </c>
    </row>
    <row r="35" ht="22.5" hidden="1" customHeight="1">
      <c r="A35" s="25" t="s">
        <v>298</v>
      </c>
      <c r="B35" s="26">
        <v>5.573999224555E12</v>
      </c>
      <c r="C35" s="26" t="s">
        <v>180</v>
      </c>
      <c r="D35" s="26" t="s">
        <v>290</v>
      </c>
      <c r="E35" s="27" t="s">
        <v>108</v>
      </c>
      <c r="F35" s="26" t="s">
        <v>151</v>
      </c>
      <c r="G35" s="25" t="s">
        <v>299</v>
      </c>
      <c r="H35" s="25" t="s">
        <v>300</v>
      </c>
    </row>
    <row r="36" ht="22.5" hidden="1" customHeight="1">
      <c r="A36" s="25" t="s">
        <v>301</v>
      </c>
      <c r="B36" s="26">
        <v>5.57536236467E11</v>
      </c>
      <c r="C36" s="26" t="s">
        <v>180</v>
      </c>
      <c r="D36" s="26" t="s">
        <v>302</v>
      </c>
      <c r="E36" s="27" t="s">
        <v>108</v>
      </c>
      <c r="F36" s="26" t="s">
        <v>151</v>
      </c>
      <c r="G36" s="25" t="s">
        <v>303</v>
      </c>
      <c r="H36" s="25" t="s">
        <v>304</v>
      </c>
    </row>
    <row r="37" ht="22.5" hidden="1" customHeight="1">
      <c r="A37" s="25" t="s">
        <v>305</v>
      </c>
      <c r="B37" s="26">
        <v>5.57533018232E11</v>
      </c>
      <c r="C37" s="26" t="s">
        <v>180</v>
      </c>
      <c r="D37" s="26" t="s">
        <v>302</v>
      </c>
      <c r="E37" s="27" t="s">
        <v>306</v>
      </c>
      <c r="F37" s="26" t="s">
        <v>151</v>
      </c>
      <c r="G37" s="25" t="s">
        <v>307</v>
      </c>
      <c r="H37" s="25" t="s">
        <v>308</v>
      </c>
    </row>
    <row r="38" ht="22.5" hidden="1" customHeight="1">
      <c r="A38" s="28" t="s">
        <v>309</v>
      </c>
      <c r="B38" s="26">
        <v>5.581991018743E12</v>
      </c>
      <c r="C38" s="26" t="s">
        <v>170</v>
      </c>
      <c r="D38" s="26" t="s">
        <v>186</v>
      </c>
      <c r="E38" s="27" t="s">
        <v>106</v>
      </c>
      <c r="F38" s="26" t="s">
        <v>196</v>
      </c>
      <c r="G38" s="25" t="s">
        <v>310</v>
      </c>
      <c r="H38" s="25" t="s">
        <v>311</v>
      </c>
    </row>
    <row r="39" ht="22.5" hidden="1" customHeight="1">
      <c r="A39" s="25" t="s">
        <v>312</v>
      </c>
      <c r="B39" s="26">
        <v>5.585999799979E12</v>
      </c>
      <c r="C39" s="26" t="s">
        <v>205</v>
      </c>
      <c r="D39" s="26" t="s">
        <v>206</v>
      </c>
      <c r="E39" s="27" t="s">
        <v>108</v>
      </c>
      <c r="F39" s="26" t="s">
        <v>151</v>
      </c>
      <c r="G39" s="25" t="s">
        <v>313</v>
      </c>
      <c r="H39" s="25" t="s">
        <v>314</v>
      </c>
    </row>
    <row r="40" ht="22.5" hidden="1" customHeight="1">
      <c r="A40" s="25" t="s">
        <v>315</v>
      </c>
      <c r="B40" s="26">
        <v>5.58530236274E11</v>
      </c>
      <c r="C40" s="26" t="s">
        <v>205</v>
      </c>
      <c r="D40" s="26" t="s">
        <v>206</v>
      </c>
      <c r="E40" s="27" t="s">
        <v>115</v>
      </c>
      <c r="F40" s="26" t="s">
        <v>151</v>
      </c>
      <c r="G40" s="25" t="s">
        <v>316</v>
      </c>
      <c r="H40" s="25" t="s">
        <v>317</v>
      </c>
    </row>
    <row r="41" ht="22.5" hidden="1" customHeight="1">
      <c r="A41" s="25" t="s">
        <v>318</v>
      </c>
      <c r="B41" s="26">
        <v>5.59832437124E11</v>
      </c>
      <c r="C41" s="26" t="s">
        <v>319</v>
      </c>
      <c r="D41" s="26" t="s">
        <v>320</v>
      </c>
      <c r="E41" s="27" t="s">
        <v>106</v>
      </c>
      <c r="F41" s="26" t="s">
        <v>196</v>
      </c>
      <c r="G41" s="25" t="s">
        <v>321</v>
      </c>
      <c r="H41" s="25" t="s">
        <v>322</v>
      </c>
    </row>
    <row r="42" ht="22.5" hidden="1" customHeight="1">
      <c r="A42" s="25" t="s">
        <v>323</v>
      </c>
      <c r="B42" s="26">
        <v>5.59830116802E11</v>
      </c>
      <c r="C42" s="26" t="s">
        <v>319</v>
      </c>
      <c r="D42" s="26" t="s">
        <v>320</v>
      </c>
      <c r="E42" s="27" t="s">
        <v>110</v>
      </c>
      <c r="F42" s="26" t="s">
        <v>196</v>
      </c>
      <c r="G42" s="25" t="s">
        <v>324</v>
      </c>
      <c r="H42" s="25" t="s">
        <v>325</v>
      </c>
    </row>
    <row r="43" ht="22.5" hidden="1" customHeight="1">
      <c r="A43" s="25" t="s">
        <v>326</v>
      </c>
      <c r="B43" s="26">
        <v>5.548999212448E12</v>
      </c>
      <c r="C43" s="26" t="s">
        <v>160</v>
      </c>
      <c r="D43" s="26" t="s">
        <v>327</v>
      </c>
      <c r="E43" s="27" t="s">
        <v>328</v>
      </c>
      <c r="F43" s="26" t="s">
        <v>151</v>
      </c>
      <c r="G43" s="25" t="s">
        <v>329</v>
      </c>
      <c r="H43" s="25" t="s">
        <v>330</v>
      </c>
    </row>
    <row r="44" ht="22.5" hidden="1" customHeight="1">
      <c r="A44" s="25" t="s">
        <v>331</v>
      </c>
      <c r="B44" s="26">
        <v>5.54832243044E11</v>
      </c>
      <c r="C44" s="26" t="s">
        <v>160</v>
      </c>
      <c r="D44" s="26" t="s">
        <v>327</v>
      </c>
      <c r="E44" s="27" t="s">
        <v>332</v>
      </c>
      <c r="F44" s="26" t="s">
        <v>151</v>
      </c>
      <c r="G44" s="25" t="s">
        <v>333</v>
      </c>
      <c r="H44" s="25" t="s">
        <v>272</v>
      </c>
    </row>
    <row r="45" ht="22.5" hidden="1" customHeight="1">
      <c r="A45" s="28" t="s">
        <v>334</v>
      </c>
      <c r="B45" s="26">
        <v>5.5483733777E11</v>
      </c>
      <c r="C45" s="26" t="s">
        <v>160</v>
      </c>
      <c r="D45" s="26" t="s">
        <v>327</v>
      </c>
      <c r="E45" s="27" t="s">
        <v>274</v>
      </c>
      <c r="F45" s="26" t="s">
        <v>151</v>
      </c>
      <c r="G45" s="25" t="s">
        <v>335</v>
      </c>
      <c r="H45" s="25" t="s">
        <v>336</v>
      </c>
    </row>
    <row r="46" ht="22.5" hidden="1" customHeight="1">
      <c r="A46" s="28" t="s">
        <v>337</v>
      </c>
      <c r="B46" s="26">
        <v>5.548988360773E12</v>
      </c>
      <c r="C46" s="26" t="s">
        <v>160</v>
      </c>
      <c r="D46" s="26" t="s">
        <v>327</v>
      </c>
      <c r="E46" s="27" t="s">
        <v>338</v>
      </c>
      <c r="F46" s="26" t="s">
        <v>151</v>
      </c>
      <c r="G46" s="25" t="s">
        <v>339</v>
      </c>
      <c r="H46" s="25" t="s">
        <v>340</v>
      </c>
    </row>
    <row r="47" ht="22.5" hidden="1" customHeight="1">
      <c r="A47" s="25" t="s">
        <v>341</v>
      </c>
      <c r="B47" s="26">
        <v>5.582999338479E12</v>
      </c>
      <c r="C47" s="26" t="s">
        <v>248</v>
      </c>
      <c r="D47" s="26" t="s">
        <v>342</v>
      </c>
      <c r="E47" s="27" t="s">
        <v>108</v>
      </c>
      <c r="F47" s="26" t="s">
        <v>151</v>
      </c>
      <c r="G47" s="25" t="s">
        <v>343</v>
      </c>
      <c r="H47" s="25" t="s">
        <v>344</v>
      </c>
    </row>
    <row r="48" ht="22.5" hidden="1" customHeight="1">
      <c r="A48" s="25" t="s">
        <v>345</v>
      </c>
      <c r="B48" s="26">
        <v>5.582996172393E12</v>
      </c>
      <c r="C48" s="26" t="s">
        <v>248</v>
      </c>
      <c r="D48" s="26" t="s">
        <v>342</v>
      </c>
      <c r="E48" s="27" t="s">
        <v>108</v>
      </c>
      <c r="F48" s="26" t="s">
        <v>151</v>
      </c>
      <c r="G48" s="25" t="s">
        <v>346</v>
      </c>
      <c r="H48" s="25" t="s">
        <v>272</v>
      </c>
    </row>
    <row r="49" ht="22.5" hidden="1" customHeight="1">
      <c r="A49" s="25" t="s">
        <v>347</v>
      </c>
      <c r="B49" s="26">
        <v>5.58235223338E11</v>
      </c>
      <c r="C49" s="26" t="s">
        <v>248</v>
      </c>
      <c r="D49" s="26" t="s">
        <v>342</v>
      </c>
      <c r="E49" s="27" t="s">
        <v>106</v>
      </c>
      <c r="F49" s="26" t="s">
        <v>151</v>
      </c>
      <c r="G49" s="25" t="s">
        <v>348</v>
      </c>
      <c r="H49" s="25" t="s">
        <v>349</v>
      </c>
    </row>
    <row r="50" ht="22.5" hidden="1" customHeight="1">
      <c r="A50" s="25" t="s">
        <v>350</v>
      </c>
      <c r="B50" s="26">
        <v>5.582996969392E12</v>
      </c>
      <c r="C50" s="26" t="s">
        <v>248</v>
      </c>
      <c r="D50" s="26" t="s">
        <v>342</v>
      </c>
      <c r="E50" s="27" t="s">
        <v>106</v>
      </c>
      <c r="F50" s="26" t="s">
        <v>151</v>
      </c>
      <c r="G50" s="25" t="s">
        <v>351</v>
      </c>
      <c r="H50" s="25" t="s">
        <v>272</v>
      </c>
    </row>
    <row r="51" ht="22.5" hidden="1" customHeight="1">
      <c r="A51" s="25" t="s">
        <v>352</v>
      </c>
      <c r="B51" s="26">
        <v>5.53134811968E11</v>
      </c>
      <c r="C51" s="26" t="s">
        <v>166</v>
      </c>
      <c r="D51" s="26" t="s">
        <v>353</v>
      </c>
      <c r="E51" s="27" t="s">
        <v>354</v>
      </c>
      <c r="F51" s="26" t="s">
        <v>151</v>
      </c>
      <c r="G51" s="25" t="s">
        <v>355</v>
      </c>
      <c r="H51" s="25" t="s">
        <v>356</v>
      </c>
    </row>
    <row r="52" ht="22.5" hidden="1" customHeight="1">
      <c r="A52" s="42" t="s">
        <v>357</v>
      </c>
      <c r="B52" s="26">
        <v>5.5313412597E11</v>
      </c>
      <c r="C52" s="26" t="s">
        <v>166</v>
      </c>
      <c r="D52" s="26" t="s">
        <v>353</v>
      </c>
      <c r="E52" s="27" t="s">
        <v>42</v>
      </c>
      <c r="F52" s="26" t="s">
        <v>151</v>
      </c>
      <c r="G52" s="25" t="s">
        <v>358</v>
      </c>
      <c r="H52" s="25" t="s">
        <v>359</v>
      </c>
    </row>
    <row r="53" ht="22.5" hidden="1" customHeight="1">
      <c r="A53" s="28" t="s">
        <v>360</v>
      </c>
      <c r="B53" s="26">
        <v>5.55196313403E11</v>
      </c>
      <c r="C53" s="26" t="s">
        <v>361</v>
      </c>
      <c r="D53" s="26" t="s">
        <v>362</v>
      </c>
      <c r="E53" s="27" t="s">
        <v>115</v>
      </c>
      <c r="F53" s="26" t="s">
        <v>151</v>
      </c>
      <c r="G53" s="25" t="s">
        <v>363</v>
      </c>
      <c r="H53" s="25" t="s">
        <v>364</v>
      </c>
    </row>
    <row r="54" ht="22.5" hidden="1" customHeight="1">
      <c r="A54" s="28" t="s">
        <v>365</v>
      </c>
      <c r="B54" s="26">
        <v>5.55199728739E11</v>
      </c>
      <c r="C54" s="26" t="s">
        <v>366</v>
      </c>
      <c r="D54" s="26" t="s">
        <v>362</v>
      </c>
      <c r="E54" s="27" t="s">
        <v>367</v>
      </c>
      <c r="F54" s="26" t="s">
        <v>151</v>
      </c>
      <c r="G54" s="25" t="s">
        <v>368</v>
      </c>
      <c r="H54" s="25" t="s">
        <v>369</v>
      </c>
    </row>
    <row r="55" ht="22.5" hidden="1" customHeight="1">
      <c r="A55" s="35" t="s">
        <v>370</v>
      </c>
      <c r="B55" s="31">
        <v>5.512991938268E12</v>
      </c>
      <c r="C55" s="36" t="s">
        <v>155</v>
      </c>
      <c r="D55" s="36" t="s">
        <v>371</v>
      </c>
      <c r="E55" s="37" t="s">
        <v>332</v>
      </c>
      <c r="F55" s="36" t="s">
        <v>151</v>
      </c>
      <c r="G55" s="25" t="s">
        <v>372</v>
      </c>
      <c r="H55" s="25" t="s">
        <v>373</v>
      </c>
    </row>
    <row r="56" ht="22.5" hidden="1" customHeight="1">
      <c r="A56" s="25" t="s">
        <v>374</v>
      </c>
      <c r="B56" s="26">
        <v>5.5733634261E11</v>
      </c>
      <c r="C56" s="26" t="s">
        <v>180</v>
      </c>
      <c r="D56" s="26" t="s">
        <v>375</v>
      </c>
      <c r="E56" s="27" t="s">
        <v>274</v>
      </c>
      <c r="F56" s="26" t="s">
        <v>151</v>
      </c>
      <c r="G56" s="25" t="s">
        <v>376</v>
      </c>
      <c r="H56" s="25" t="s">
        <v>377</v>
      </c>
    </row>
    <row r="57" ht="22.5" hidden="1" customHeight="1">
      <c r="A57" s="25" t="s">
        <v>378</v>
      </c>
      <c r="B57" s="26">
        <v>5.57336349972E11</v>
      </c>
      <c r="C57" s="26" t="s">
        <v>180</v>
      </c>
      <c r="D57" s="26" t="s">
        <v>375</v>
      </c>
      <c r="E57" s="27" t="s">
        <v>115</v>
      </c>
      <c r="F57" s="26" t="s">
        <v>151</v>
      </c>
      <c r="G57" s="25" t="s">
        <v>379</v>
      </c>
      <c r="H57" s="25" t="s">
        <v>272</v>
      </c>
    </row>
    <row r="58" ht="22.5" hidden="1" customHeight="1">
      <c r="A58" s="25" t="s">
        <v>380</v>
      </c>
      <c r="B58" s="26">
        <v>5.54734553283E11</v>
      </c>
      <c r="C58" s="26" t="s">
        <v>160</v>
      </c>
      <c r="D58" s="26" t="s">
        <v>381</v>
      </c>
      <c r="E58" s="27" t="s">
        <v>106</v>
      </c>
      <c r="F58" s="26" t="s">
        <v>151</v>
      </c>
      <c r="G58" s="25" t="s">
        <v>382</v>
      </c>
      <c r="H58" s="25" t="s">
        <v>272</v>
      </c>
    </row>
    <row r="59" ht="22.5" hidden="1" customHeight="1">
      <c r="A59" s="25" t="s">
        <v>383</v>
      </c>
      <c r="B59" s="26">
        <v>5.547988623682E12</v>
      </c>
      <c r="C59" s="26" t="s">
        <v>160</v>
      </c>
      <c r="D59" s="26" t="s">
        <v>381</v>
      </c>
      <c r="E59" s="27" t="s">
        <v>108</v>
      </c>
      <c r="F59" s="26" t="s">
        <v>151</v>
      </c>
      <c r="G59" s="25" t="s">
        <v>384</v>
      </c>
      <c r="H59" s="25" t="s">
        <v>272</v>
      </c>
    </row>
    <row r="60" ht="22.5" hidden="1" customHeight="1">
      <c r="A60" s="25" t="s">
        <v>385</v>
      </c>
      <c r="B60" s="26">
        <v>5.54734671008E11</v>
      </c>
      <c r="C60" s="26" t="s">
        <v>160</v>
      </c>
      <c r="D60" s="26" t="s">
        <v>381</v>
      </c>
      <c r="E60" s="27" t="s">
        <v>106</v>
      </c>
      <c r="F60" s="26" t="s">
        <v>196</v>
      </c>
      <c r="G60" s="25" t="s">
        <v>386</v>
      </c>
      <c r="H60" s="25" t="s">
        <v>387</v>
      </c>
    </row>
    <row r="61" ht="22.5" hidden="1" customHeight="1">
      <c r="A61" s="25" t="s">
        <v>388</v>
      </c>
      <c r="B61" s="26">
        <v>5.547996112986E12</v>
      </c>
      <c r="C61" s="26" t="s">
        <v>160</v>
      </c>
      <c r="D61" s="26" t="s">
        <v>381</v>
      </c>
      <c r="E61" s="27" t="s">
        <v>72</v>
      </c>
      <c r="F61" s="26" t="s">
        <v>151</v>
      </c>
      <c r="G61" s="25" t="s">
        <v>389</v>
      </c>
      <c r="H61" s="25" t="s">
        <v>390</v>
      </c>
    </row>
    <row r="62" ht="22.5" hidden="1" customHeight="1">
      <c r="A62" s="25" t="s">
        <v>391</v>
      </c>
      <c r="B62" s="26">
        <v>5.5473028805E11</v>
      </c>
      <c r="C62" s="26" t="s">
        <v>160</v>
      </c>
      <c r="D62" s="26" t="s">
        <v>381</v>
      </c>
      <c r="E62" s="27" t="s">
        <v>42</v>
      </c>
      <c r="F62" s="26" t="s">
        <v>196</v>
      </c>
      <c r="G62" s="25" t="s">
        <v>392</v>
      </c>
      <c r="H62" s="25" t="s">
        <v>393</v>
      </c>
    </row>
    <row r="63" ht="22.5" hidden="1" customHeight="1">
      <c r="A63" s="25" t="s">
        <v>394</v>
      </c>
      <c r="B63" s="26">
        <v>5.567993324526E12</v>
      </c>
      <c r="C63" s="26" t="s">
        <v>395</v>
      </c>
      <c r="D63" s="26" t="s">
        <v>396</v>
      </c>
      <c r="E63" s="27" t="s">
        <v>106</v>
      </c>
      <c r="F63" s="26" t="s">
        <v>151</v>
      </c>
      <c r="G63" s="25" t="s">
        <v>397</v>
      </c>
      <c r="H63" s="25" t="s">
        <v>398</v>
      </c>
    </row>
    <row r="64" ht="22.5" hidden="1" customHeight="1">
      <c r="A64" s="25" t="s">
        <v>399</v>
      </c>
      <c r="B64" s="26">
        <v>5.5679983141415E13</v>
      </c>
      <c r="C64" s="26" t="s">
        <v>395</v>
      </c>
      <c r="D64" s="26" t="s">
        <v>400</v>
      </c>
      <c r="E64" s="27" t="s">
        <v>72</v>
      </c>
      <c r="F64" s="26" t="s">
        <v>151</v>
      </c>
      <c r="G64" s="25" t="s">
        <v>401</v>
      </c>
      <c r="H64" s="25" t="s">
        <v>402</v>
      </c>
    </row>
    <row r="65" ht="22.5" hidden="1" customHeight="1">
      <c r="A65" s="28" t="s">
        <v>403</v>
      </c>
      <c r="B65" s="26">
        <v>5.56730205975E11</v>
      </c>
      <c r="C65" s="26" t="s">
        <v>395</v>
      </c>
      <c r="D65" s="26" t="s">
        <v>404</v>
      </c>
      <c r="E65" s="27" t="s">
        <v>405</v>
      </c>
      <c r="F65" s="26" t="s">
        <v>151</v>
      </c>
      <c r="G65" s="25" t="s">
        <v>406</v>
      </c>
      <c r="H65" s="25" t="s">
        <v>407</v>
      </c>
    </row>
    <row r="66" ht="22.5" hidden="1" customHeight="1">
      <c r="A66" s="25" t="s">
        <v>408</v>
      </c>
      <c r="B66" s="26">
        <v>5.56733422606E11</v>
      </c>
      <c r="C66" s="26" t="s">
        <v>395</v>
      </c>
      <c r="D66" s="26" t="s">
        <v>409</v>
      </c>
      <c r="E66" s="27" t="s">
        <v>72</v>
      </c>
      <c r="F66" s="26" t="s">
        <v>196</v>
      </c>
      <c r="G66" s="25" t="s">
        <v>410</v>
      </c>
      <c r="H66" s="25" t="s">
        <v>411</v>
      </c>
    </row>
    <row r="67" ht="22.5" hidden="1" customHeight="1">
      <c r="A67" s="25" t="s">
        <v>412</v>
      </c>
      <c r="B67" s="26">
        <v>5.58137881022E11</v>
      </c>
      <c r="C67" s="26" t="s">
        <v>170</v>
      </c>
      <c r="D67" s="26" t="s">
        <v>171</v>
      </c>
      <c r="E67" s="27" t="s">
        <v>274</v>
      </c>
      <c r="F67" s="26" t="s">
        <v>196</v>
      </c>
      <c r="G67" s="25" t="s">
        <v>413</v>
      </c>
      <c r="H67" s="43" t="s">
        <v>414</v>
      </c>
    </row>
    <row r="68" ht="22.5" hidden="1" customHeight="1">
      <c r="A68" s="28" t="s">
        <v>415</v>
      </c>
      <c r="B68" s="26">
        <v>5.58132042398E11</v>
      </c>
      <c r="C68" s="26" t="s">
        <v>170</v>
      </c>
      <c r="D68" s="26" t="s">
        <v>171</v>
      </c>
      <c r="E68" s="27" t="s">
        <v>416</v>
      </c>
      <c r="F68" s="26" t="s">
        <v>196</v>
      </c>
      <c r="G68" s="25" t="s">
        <v>417</v>
      </c>
      <c r="H68" s="43" t="s">
        <v>418</v>
      </c>
    </row>
    <row r="69" ht="22.5" hidden="1" customHeight="1">
      <c r="A69" s="25" t="s">
        <v>419</v>
      </c>
      <c r="B69" s="26">
        <v>5.58132996169E11</v>
      </c>
      <c r="C69" s="26" t="s">
        <v>170</v>
      </c>
      <c r="D69" s="26" t="s">
        <v>171</v>
      </c>
      <c r="E69" s="27" t="s">
        <v>72</v>
      </c>
      <c r="F69" s="26" t="s">
        <v>151</v>
      </c>
      <c r="G69" s="25" t="s">
        <v>420</v>
      </c>
      <c r="H69" s="43" t="s">
        <v>276</v>
      </c>
    </row>
    <row r="70" ht="22.5" hidden="1" customHeight="1">
      <c r="A70" s="25" t="s">
        <v>421</v>
      </c>
      <c r="B70" s="26">
        <v>5.58130332627E11</v>
      </c>
      <c r="C70" s="26" t="s">
        <v>170</v>
      </c>
      <c r="D70" s="26" t="s">
        <v>171</v>
      </c>
      <c r="E70" s="27" t="s">
        <v>102</v>
      </c>
      <c r="F70" s="26" t="s">
        <v>151</v>
      </c>
      <c r="G70" s="25" t="s">
        <v>422</v>
      </c>
      <c r="H70" s="43" t="s">
        <v>414</v>
      </c>
    </row>
    <row r="71" ht="22.5" hidden="1" customHeight="1">
      <c r="A71" s="28" t="s">
        <v>423</v>
      </c>
      <c r="B71" s="26">
        <v>5.581997759782E12</v>
      </c>
      <c r="C71" s="26" t="s">
        <v>170</v>
      </c>
      <c r="D71" s="26" t="s">
        <v>171</v>
      </c>
      <c r="E71" s="27" t="s">
        <v>37</v>
      </c>
      <c r="F71" s="26" t="s">
        <v>151</v>
      </c>
      <c r="G71" s="25" t="s">
        <v>424</v>
      </c>
      <c r="H71" s="25" t="s">
        <v>425</v>
      </c>
    </row>
    <row r="72" ht="22.5" hidden="1" customHeight="1">
      <c r="A72" s="25" t="s">
        <v>426</v>
      </c>
      <c r="B72" s="26">
        <v>5.58132726896E11</v>
      </c>
      <c r="C72" s="26" t="s">
        <v>170</v>
      </c>
      <c r="D72" s="26" t="s">
        <v>171</v>
      </c>
      <c r="E72" s="27" t="s">
        <v>102</v>
      </c>
      <c r="F72" s="26" t="s">
        <v>151</v>
      </c>
      <c r="G72" s="25" t="s">
        <v>427</v>
      </c>
      <c r="H72" s="25" t="s">
        <v>428</v>
      </c>
    </row>
    <row r="73" ht="22.5" hidden="1" customHeight="1">
      <c r="A73" s="25" t="s">
        <v>429</v>
      </c>
      <c r="B73" s="26">
        <v>5.54599842881E12</v>
      </c>
      <c r="C73" s="26" t="s">
        <v>194</v>
      </c>
      <c r="D73" s="26" t="s">
        <v>430</v>
      </c>
      <c r="E73" s="27" t="s">
        <v>72</v>
      </c>
      <c r="F73" s="26" t="s">
        <v>151</v>
      </c>
      <c r="G73" s="25" t="s">
        <v>431</v>
      </c>
      <c r="H73" s="25" t="s">
        <v>432</v>
      </c>
    </row>
    <row r="74" ht="22.5" hidden="1" customHeight="1">
      <c r="A74" s="28" t="s">
        <v>433</v>
      </c>
      <c r="B74" s="26">
        <v>5.54530295959E11</v>
      </c>
      <c r="C74" s="26" t="s">
        <v>194</v>
      </c>
      <c r="D74" s="26" t="s">
        <v>430</v>
      </c>
      <c r="E74" s="27" t="s">
        <v>72</v>
      </c>
      <c r="F74" s="26" t="s">
        <v>151</v>
      </c>
      <c r="G74" s="25" t="s">
        <v>434</v>
      </c>
      <c r="H74" s="25" t="s">
        <v>188</v>
      </c>
    </row>
    <row r="75" ht="22.5" hidden="1" customHeight="1">
      <c r="A75" s="25" t="s">
        <v>435</v>
      </c>
      <c r="B75" s="29">
        <f>+555132733973</f>
        <v>555132733973</v>
      </c>
      <c r="C75" s="26" t="s">
        <v>361</v>
      </c>
      <c r="D75" s="26" t="s">
        <v>362</v>
      </c>
      <c r="E75" s="27" t="s">
        <v>436</v>
      </c>
      <c r="F75" s="26" t="s">
        <v>151</v>
      </c>
      <c r="G75" s="25" t="s">
        <v>437</v>
      </c>
      <c r="H75" s="25" t="s">
        <v>438</v>
      </c>
    </row>
    <row r="76" ht="22.5" hidden="1" customHeight="1">
      <c r="A76" s="25" t="s">
        <v>439</v>
      </c>
      <c r="B76" s="26">
        <v>5.55133443492E11</v>
      </c>
      <c r="C76" s="26" t="s">
        <v>361</v>
      </c>
      <c r="D76" s="26" t="s">
        <v>362</v>
      </c>
      <c r="E76" s="27" t="s">
        <v>440</v>
      </c>
      <c r="F76" s="26" t="s">
        <v>151</v>
      </c>
      <c r="G76" s="25" t="s">
        <v>441</v>
      </c>
      <c r="H76" s="25" t="s">
        <v>442</v>
      </c>
    </row>
    <row r="77" ht="22.5" hidden="1" customHeight="1">
      <c r="A77" s="25" t="s">
        <v>443</v>
      </c>
      <c r="B77" s="26">
        <v>5.55130282345E11</v>
      </c>
      <c r="C77" s="26" t="s">
        <v>361</v>
      </c>
      <c r="D77" s="26" t="s">
        <v>362</v>
      </c>
      <c r="E77" s="27" t="s">
        <v>121</v>
      </c>
      <c r="F77" s="26" t="s">
        <v>151</v>
      </c>
      <c r="G77" s="25" t="s">
        <v>444</v>
      </c>
      <c r="H77" s="25" t="s">
        <v>445</v>
      </c>
    </row>
    <row r="78" ht="22.5" hidden="1" customHeight="1">
      <c r="A78" s="28" t="s">
        <v>446</v>
      </c>
      <c r="B78" s="26">
        <v>5.55133474643E11</v>
      </c>
      <c r="C78" s="26" t="s">
        <v>361</v>
      </c>
      <c r="D78" s="26" t="s">
        <v>362</v>
      </c>
      <c r="E78" s="27" t="s">
        <v>447</v>
      </c>
      <c r="F78" s="26" t="s">
        <v>151</v>
      </c>
      <c r="G78" s="25" t="s">
        <v>448</v>
      </c>
      <c r="H78" s="25" t="s">
        <v>449</v>
      </c>
    </row>
    <row r="79" ht="22.5" hidden="1" customHeight="1">
      <c r="A79" s="25" t="s">
        <v>450</v>
      </c>
      <c r="B79" s="26">
        <v>5.55137797776E11</v>
      </c>
      <c r="C79" s="26" t="s">
        <v>361</v>
      </c>
      <c r="D79" s="26" t="s">
        <v>362</v>
      </c>
      <c r="E79" s="27" t="s">
        <v>110</v>
      </c>
      <c r="F79" s="26" t="s">
        <v>151</v>
      </c>
      <c r="G79" s="25" t="s">
        <v>451</v>
      </c>
      <c r="H79" s="25" t="s">
        <v>452</v>
      </c>
    </row>
    <row r="80" ht="22.5" hidden="1" customHeight="1">
      <c r="A80" s="28" t="s">
        <v>453</v>
      </c>
      <c r="B80" s="26">
        <v>5.55130236787E11</v>
      </c>
      <c r="C80" s="26" t="s">
        <v>361</v>
      </c>
      <c r="D80" s="26" t="s">
        <v>362</v>
      </c>
      <c r="E80" s="27" t="s">
        <v>454</v>
      </c>
      <c r="F80" s="26" t="s">
        <v>151</v>
      </c>
      <c r="G80" s="25" t="s">
        <v>455</v>
      </c>
      <c r="H80" s="25" t="s">
        <v>456</v>
      </c>
    </row>
    <row r="81" ht="22.5" hidden="1" customHeight="1">
      <c r="A81" s="28" t="s">
        <v>457</v>
      </c>
      <c r="B81" s="26">
        <v>5.58133265885E11</v>
      </c>
      <c r="C81" s="26" t="s">
        <v>170</v>
      </c>
      <c r="D81" s="26" t="s">
        <v>171</v>
      </c>
      <c r="E81" s="27" t="s">
        <v>72</v>
      </c>
      <c r="F81" s="26" t="s">
        <v>151</v>
      </c>
      <c r="G81" s="25" t="s">
        <v>458</v>
      </c>
      <c r="H81" s="25" t="s">
        <v>459</v>
      </c>
    </row>
    <row r="82" ht="22.5" hidden="1" customHeight="1">
      <c r="A82" s="25" t="s">
        <v>460</v>
      </c>
      <c r="B82" s="31">
        <v>5.57132337835E11</v>
      </c>
      <c r="C82" s="31" t="s">
        <v>180</v>
      </c>
      <c r="D82" s="31" t="s">
        <v>461</v>
      </c>
      <c r="E82" s="32" t="s">
        <v>102</v>
      </c>
      <c r="F82" s="31" t="s">
        <v>151</v>
      </c>
      <c r="G82" s="33" t="s">
        <v>462</v>
      </c>
      <c r="H82" s="25" t="s">
        <v>463</v>
      </c>
    </row>
    <row r="83" ht="22.5" hidden="1" customHeight="1">
      <c r="A83" s="44" t="s">
        <v>464</v>
      </c>
      <c r="B83" s="31">
        <v>5.51129785226E11</v>
      </c>
      <c r="C83" s="31" t="s">
        <v>155</v>
      </c>
      <c r="D83" s="31" t="s">
        <v>156</v>
      </c>
      <c r="E83" s="37" t="s">
        <v>465</v>
      </c>
      <c r="F83" s="31" t="s">
        <v>151</v>
      </c>
      <c r="G83" s="39" t="s">
        <v>466</v>
      </c>
      <c r="H83" s="25" t="s">
        <v>283</v>
      </c>
    </row>
    <row r="84" ht="22.5" hidden="1" customHeight="1">
      <c r="A84" s="25" t="s">
        <v>467</v>
      </c>
      <c r="B84" s="26">
        <v>5.51155726284E11</v>
      </c>
      <c r="C84" s="26" t="s">
        <v>155</v>
      </c>
      <c r="D84" s="26" t="s">
        <v>156</v>
      </c>
      <c r="E84" s="27" t="s">
        <v>468</v>
      </c>
      <c r="F84" s="26" t="s">
        <v>151</v>
      </c>
      <c r="G84" s="25" t="s">
        <v>469</v>
      </c>
      <c r="H84" s="25" t="s">
        <v>470</v>
      </c>
    </row>
    <row r="85" ht="22.5" hidden="1" customHeight="1">
      <c r="A85" s="25" t="s">
        <v>471</v>
      </c>
      <c r="B85" s="26">
        <v>5.51129574582E11</v>
      </c>
      <c r="C85" s="26" t="s">
        <v>155</v>
      </c>
      <c r="D85" s="26" t="s">
        <v>156</v>
      </c>
      <c r="E85" s="27" t="s">
        <v>57</v>
      </c>
      <c r="F85" s="26" t="s">
        <v>472</v>
      </c>
      <c r="G85" s="25" t="s">
        <v>473</v>
      </c>
      <c r="H85" s="25" t="s">
        <v>474</v>
      </c>
    </row>
    <row r="86" ht="22.5" hidden="1" customHeight="1">
      <c r="A86" s="28" t="s">
        <v>475</v>
      </c>
      <c r="B86" s="26">
        <v>5.51232116003E11</v>
      </c>
      <c r="C86" s="26" t="s">
        <v>155</v>
      </c>
      <c r="D86" s="26" t="s">
        <v>476</v>
      </c>
      <c r="E86" s="27" t="s">
        <v>42</v>
      </c>
      <c r="F86" s="26" t="s">
        <v>196</v>
      </c>
      <c r="G86" s="25" t="s">
        <v>477</v>
      </c>
      <c r="H86" s="25" t="s">
        <v>478</v>
      </c>
    </row>
    <row r="87" ht="22.5" hidden="1" customHeight="1">
      <c r="A87" s="28" t="s">
        <v>479</v>
      </c>
      <c r="B87" s="26">
        <v>5.512992203879E12</v>
      </c>
      <c r="C87" s="26" t="s">
        <v>155</v>
      </c>
      <c r="D87" s="26" t="s">
        <v>476</v>
      </c>
      <c r="E87" s="27" t="s">
        <v>72</v>
      </c>
      <c r="F87" s="26" t="s">
        <v>196</v>
      </c>
      <c r="G87" s="25" t="s">
        <v>480</v>
      </c>
      <c r="H87" s="25" t="s">
        <v>481</v>
      </c>
    </row>
    <row r="88" ht="22.5" hidden="1" customHeight="1">
      <c r="A88" s="25" t="s">
        <v>482</v>
      </c>
      <c r="B88" s="26">
        <v>5.51238322328E11</v>
      </c>
      <c r="C88" s="26" t="s">
        <v>155</v>
      </c>
      <c r="D88" s="26" t="s">
        <v>476</v>
      </c>
      <c r="E88" s="27" t="s">
        <v>5</v>
      </c>
      <c r="F88" s="26" t="s">
        <v>196</v>
      </c>
      <c r="G88" s="25" t="s">
        <v>483</v>
      </c>
      <c r="H88" s="25" t="s">
        <v>484</v>
      </c>
    </row>
    <row r="89" ht="22.5" hidden="1" customHeight="1">
      <c r="A89" s="28" t="s">
        <v>485</v>
      </c>
      <c r="B89" s="26">
        <v>5.51238420531E11</v>
      </c>
      <c r="C89" s="26" t="s">
        <v>155</v>
      </c>
      <c r="D89" s="26" t="s">
        <v>476</v>
      </c>
      <c r="E89" s="27" t="s">
        <v>207</v>
      </c>
      <c r="F89" s="26" t="s">
        <v>151</v>
      </c>
      <c r="G89" s="25" t="s">
        <v>486</v>
      </c>
      <c r="H89" s="25" t="s">
        <v>487</v>
      </c>
    </row>
    <row r="90" ht="22.5" hidden="1" customHeight="1">
      <c r="A90" s="25" t="s">
        <v>488</v>
      </c>
      <c r="B90" s="26">
        <v>5.512213254E11</v>
      </c>
      <c r="C90" s="26" t="s">
        <v>155</v>
      </c>
      <c r="D90" s="26" t="s">
        <v>476</v>
      </c>
      <c r="E90" s="27" t="s">
        <v>207</v>
      </c>
      <c r="F90" s="26" t="s">
        <v>151</v>
      </c>
      <c r="G90" s="25" t="s">
        <v>489</v>
      </c>
      <c r="H90" s="25" t="s">
        <v>452</v>
      </c>
    </row>
    <row r="91" ht="22.5" hidden="1" customHeight="1">
      <c r="A91" s="28" t="s">
        <v>490</v>
      </c>
      <c r="B91" s="26">
        <v>5.512996516417E12</v>
      </c>
      <c r="C91" s="26" t="s">
        <v>155</v>
      </c>
      <c r="D91" s="26" t="s">
        <v>476</v>
      </c>
      <c r="E91" s="27" t="s">
        <v>5</v>
      </c>
      <c r="F91" s="26" t="s">
        <v>196</v>
      </c>
      <c r="G91" s="25" t="s">
        <v>491</v>
      </c>
      <c r="H91" s="25" t="s">
        <v>492</v>
      </c>
    </row>
    <row r="92" ht="22.5" hidden="1" customHeight="1">
      <c r="A92" s="25" t="s">
        <v>493</v>
      </c>
      <c r="B92" s="26">
        <v>5.51238495731E11</v>
      </c>
      <c r="C92" s="26" t="s">
        <v>155</v>
      </c>
      <c r="D92" s="26" t="s">
        <v>476</v>
      </c>
      <c r="E92" s="27" t="s">
        <v>72</v>
      </c>
      <c r="F92" s="26" t="s">
        <v>151</v>
      </c>
      <c r="G92" s="25" t="s">
        <v>494</v>
      </c>
      <c r="H92" s="25" t="s">
        <v>184</v>
      </c>
    </row>
    <row r="93" ht="22.5" hidden="1" customHeight="1">
      <c r="A93" s="25" t="s">
        <v>495</v>
      </c>
      <c r="B93" s="26">
        <v>5.512974064247E12</v>
      </c>
      <c r="C93" s="26" t="s">
        <v>155</v>
      </c>
      <c r="D93" s="26" t="s">
        <v>476</v>
      </c>
      <c r="E93" s="27" t="s">
        <v>115</v>
      </c>
      <c r="F93" s="26" t="s">
        <v>196</v>
      </c>
      <c r="G93" s="28" t="s">
        <v>496</v>
      </c>
      <c r="H93" s="25" t="s">
        <v>452</v>
      </c>
    </row>
    <row r="94" ht="22.5" hidden="1" customHeight="1">
      <c r="A94" s="25" t="s">
        <v>497</v>
      </c>
      <c r="B94" s="26">
        <v>5.51238621501E11</v>
      </c>
      <c r="C94" s="26" t="s">
        <v>155</v>
      </c>
      <c r="D94" s="26" t="s">
        <v>498</v>
      </c>
      <c r="E94" s="27" t="s">
        <v>274</v>
      </c>
      <c r="F94" s="26" t="s">
        <v>182</v>
      </c>
      <c r="G94" s="25" t="s">
        <v>499</v>
      </c>
      <c r="H94" s="25" t="s">
        <v>500</v>
      </c>
    </row>
    <row r="95" ht="22.5" hidden="1" customHeight="1">
      <c r="A95" s="28" t="s">
        <v>501</v>
      </c>
      <c r="B95" s="26">
        <v>5.512981446699E12</v>
      </c>
      <c r="C95" s="26" t="s">
        <v>155</v>
      </c>
      <c r="D95" s="26" t="s">
        <v>498</v>
      </c>
      <c r="E95" s="27" t="s">
        <v>5</v>
      </c>
      <c r="F95" s="26" t="s">
        <v>151</v>
      </c>
      <c r="G95" s="25" t="s">
        <v>502</v>
      </c>
      <c r="H95" s="25" t="s">
        <v>487</v>
      </c>
    </row>
    <row r="96" ht="22.5" hidden="1" customHeight="1">
      <c r="A96" s="25" t="s">
        <v>503</v>
      </c>
      <c r="B96" s="26">
        <v>5.51238622727E11</v>
      </c>
      <c r="C96" s="26" t="s">
        <v>155</v>
      </c>
      <c r="D96" s="26" t="s">
        <v>498</v>
      </c>
      <c r="E96" s="27" t="s">
        <v>354</v>
      </c>
      <c r="F96" s="26" t="s">
        <v>151</v>
      </c>
      <c r="G96" s="25" t="s">
        <v>504</v>
      </c>
      <c r="H96" s="25" t="s">
        <v>505</v>
      </c>
    </row>
    <row r="97" ht="22.5" hidden="1" customHeight="1">
      <c r="A97" s="45" t="s">
        <v>506</v>
      </c>
      <c r="B97" s="26" t="s">
        <v>507</v>
      </c>
      <c r="C97" s="26" t="s">
        <v>155</v>
      </c>
      <c r="D97" s="26" t="s">
        <v>498</v>
      </c>
      <c r="E97" s="27" t="s">
        <v>115</v>
      </c>
      <c r="F97" s="26" t="s">
        <v>151</v>
      </c>
      <c r="G97" s="25" t="s">
        <v>508</v>
      </c>
      <c r="H97" s="25" t="s">
        <v>509</v>
      </c>
    </row>
    <row r="98" ht="22.5" hidden="1" customHeight="1">
      <c r="A98" s="45" t="s">
        <v>510</v>
      </c>
      <c r="B98" s="26">
        <v>5.51298193713E12</v>
      </c>
      <c r="C98" s="26" t="s">
        <v>155</v>
      </c>
      <c r="D98" s="26" t="s">
        <v>498</v>
      </c>
      <c r="E98" s="27" t="s">
        <v>72</v>
      </c>
      <c r="F98" s="26" t="s">
        <v>151</v>
      </c>
      <c r="G98" s="25" t="s">
        <v>511</v>
      </c>
      <c r="H98" s="25" t="s">
        <v>512</v>
      </c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22.5" hidden="1" customHeight="1">
      <c r="A99" s="47" t="s">
        <v>513</v>
      </c>
      <c r="B99" s="26">
        <v>5.554981475558E12</v>
      </c>
      <c r="C99" s="26" t="s">
        <v>361</v>
      </c>
      <c r="D99" s="26" t="s">
        <v>514</v>
      </c>
      <c r="E99" s="27" t="s">
        <v>110</v>
      </c>
      <c r="F99" s="26" t="s">
        <v>196</v>
      </c>
      <c r="G99" s="25" t="s">
        <v>515</v>
      </c>
      <c r="H99" s="25" t="s">
        <v>516</v>
      </c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22.5" hidden="1" customHeight="1">
      <c r="A100" s="25" t="s">
        <v>517</v>
      </c>
      <c r="B100" s="26">
        <v>5.51633688277E11</v>
      </c>
      <c r="C100" s="26" t="s">
        <v>155</v>
      </c>
      <c r="D100" s="26" t="s">
        <v>518</v>
      </c>
      <c r="E100" s="27" t="s">
        <v>519</v>
      </c>
      <c r="F100" s="26" t="s">
        <v>151</v>
      </c>
      <c r="G100" s="25" t="s">
        <v>520</v>
      </c>
      <c r="H100" s="25" t="s">
        <v>521</v>
      </c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22.5" hidden="1" customHeight="1">
      <c r="A101" s="25" t="s">
        <v>522</v>
      </c>
      <c r="B101" s="26">
        <v>5.514998704926E12</v>
      </c>
      <c r="C101" s="26" t="s">
        <v>155</v>
      </c>
      <c r="D101" s="26" t="s">
        <v>523</v>
      </c>
      <c r="E101" s="27" t="s">
        <v>108</v>
      </c>
      <c r="F101" s="26" t="s">
        <v>151</v>
      </c>
      <c r="G101" s="25" t="s">
        <v>524</v>
      </c>
      <c r="H101" s="25" t="s">
        <v>525</v>
      </c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22.5" hidden="1" customHeight="1">
      <c r="A102" s="25" t="s">
        <v>526</v>
      </c>
      <c r="B102" s="26" t="s">
        <v>527</v>
      </c>
      <c r="C102" s="26" t="s">
        <v>160</v>
      </c>
      <c r="D102" s="26" t="s">
        <v>327</v>
      </c>
      <c r="E102" s="27" t="s">
        <v>528</v>
      </c>
      <c r="F102" s="26" t="s">
        <v>151</v>
      </c>
      <c r="G102" s="25" t="s">
        <v>529</v>
      </c>
      <c r="H102" s="25" t="s">
        <v>344</v>
      </c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22.5" hidden="1" customHeight="1">
      <c r="A103" s="28" t="s">
        <v>530</v>
      </c>
      <c r="B103" s="26">
        <v>5.548999814193E12</v>
      </c>
      <c r="C103" s="26" t="s">
        <v>160</v>
      </c>
      <c r="D103" s="26" t="s">
        <v>327</v>
      </c>
      <c r="E103" s="27" t="s">
        <v>11</v>
      </c>
      <c r="F103" s="26" t="s">
        <v>151</v>
      </c>
      <c r="G103" s="25" t="s">
        <v>531</v>
      </c>
      <c r="H103" s="25" t="s">
        <v>532</v>
      </c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22.5" hidden="1" customHeight="1">
      <c r="A104" s="25" t="s">
        <v>533</v>
      </c>
      <c r="B104" s="26">
        <v>5.54837336838E11</v>
      </c>
      <c r="C104" s="26" t="s">
        <v>160</v>
      </c>
      <c r="D104" s="26" t="s">
        <v>327</v>
      </c>
      <c r="E104" s="27" t="s">
        <v>108</v>
      </c>
      <c r="F104" s="26" t="s">
        <v>151</v>
      </c>
      <c r="G104" s="25" t="s">
        <v>534</v>
      </c>
      <c r="H104" s="25" t="s">
        <v>535</v>
      </c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22.5" hidden="1" customHeight="1">
      <c r="A105" s="25" t="s">
        <v>536</v>
      </c>
      <c r="B105" s="26">
        <v>5.54830255755E11</v>
      </c>
      <c r="C105" s="26" t="s">
        <v>160</v>
      </c>
      <c r="D105" s="26" t="s">
        <v>327</v>
      </c>
      <c r="E105" s="27" t="s">
        <v>454</v>
      </c>
      <c r="F105" s="26" t="s">
        <v>151</v>
      </c>
      <c r="G105" s="25" t="s">
        <v>537</v>
      </c>
      <c r="H105" s="25" t="s">
        <v>535</v>
      </c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2.5" hidden="1" customHeight="1">
      <c r="A106" s="25" t="s">
        <v>538</v>
      </c>
      <c r="B106" s="26">
        <v>5.54833040063E11</v>
      </c>
      <c r="C106" s="31" t="s">
        <v>160</v>
      </c>
      <c r="D106" s="31" t="s">
        <v>327</v>
      </c>
      <c r="E106" s="32" t="s">
        <v>102</v>
      </c>
      <c r="F106" s="31" t="s">
        <v>151</v>
      </c>
      <c r="G106" s="33" t="s">
        <v>539</v>
      </c>
      <c r="H106" s="25" t="s">
        <v>535</v>
      </c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2.5" hidden="1" customHeight="1">
      <c r="A107" s="25" t="s">
        <v>540</v>
      </c>
      <c r="B107" s="26">
        <v>5.548988275424E12</v>
      </c>
      <c r="C107" s="26" t="s">
        <v>160</v>
      </c>
      <c r="D107" s="26" t="s">
        <v>327</v>
      </c>
      <c r="E107" s="27" t="s">
        <v>72</v>
      </c>
      <c r="F107" s="26" t="s">
        <v>151</v>
      </c>
      <c r="G107" s="25" t="s">
        <v>541</v>
      </c>
      <c r="H107" s="25" t="s">
        <v>542</v>
      </c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2.5" hidden="1" customHeight="1">
      <c r="A108" s="38" t="s">
        <v>543</v>
      </c>
      <c r="B108" s="36">
        <v>5.58481339583E11</v>
      </c>
      <c r="C108" s="36" t="s">
        <v>544</v>
      </c>
      <c r="D108" s="36" t="s">
        <v>545</v>
      </c>
      <c r="E108" s="37">
        <v>100.0</v>
      </c>
      <c r="F108" s="31" t="s">
        <v>546</v>
      </c>
      <c r="G108" s="25" t="s">
        <v>547</v>
      </c>
      <c r="H108" s="31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2.5" hidden="1" customHeight="1">
      <c r="A109" s="28" t="s">
        <v>548</v>
      </c>
      <c r="B109" s="26" t="s">
        <v>549</v>
      </c>
      <c r="C109" s="26" t="s">
        <v>366</v>
      </c>
      <c r="D109" s="26" t="s">
        <v>550</v>
      </c>
      <c r="E109" s="27" t="s">
        <v>551</v>
      </c>
      <c r="F109" s="26" t="s">
        <v>225</v>
      </c>
      <c r="G109" s="25" t="s">
        <v>552</v>
      </c>
      <c r="H109" s="25" t="s">
        <v>553</v>
      </c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2.5" hidden="1" customHeight="1">
      <c r="A110" s="28" t="s">
        <v>554</v>
      </c>
      <c r="B110" s="26" t="s">
        <v>555</v>
      </c>
      <c r="C110" s="26" t="s">
        <v>366</v>
      </c>
      <c r="D110" s="26" t="s">
        <v>550</v>
      </c>
      <c r="E110" s="27" t="s">
        <v>556</v>
      </c>
      <c r="F110" s="26" t="s">
        <v>225</v>
      </c>
      <c r="G110" s="25" t="s">
        <v>557</v>
      </c>
      <c r="H110" s="48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2.5" hidden="1" customHeight="1">
      <c r="A111" s="49" t="s">
        <v>558</v>
      </c>
      <c r="B111" s="26" t="s">
        <v>559</v>
      </c>
      <c r="C111" s="26" t="s">
        <v>180</v>
      </c>
      <c r="D111" s="26" t="s">
        <v>560</v>
      </c>
      <c r="E111" s="27" t="s">
        <v>561</v>
      </c>
      <c r="F111" s="29"/>
      <c r="G111" s="25" t="s">
        <v>562</v>
      </c>
      <c r="H111" s="48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2.5" hidden="1" customHeight="1">
      <c r="A112" s="28" t="s">
        <v>563</v>
      </c>
      <c r="B112" s="26">
        <v>5.58532592132E11</v>
      </c>
      <c r="C112" s="26" t="s">
        <v>205</v>
      </c>
      <c r="D112" s="26" t="s">
        <v>206</v>
      </c>
      <c r="E112" s="27" t="s">
        <v>190</v>
      </c>
      <c r="F112" s="26" t="s">
        <v>151</v>
      </c>
      <c r="G112" s="25" t="s">
        <v>564</v>
      </c>
      <c r="H112" s="25" t="s">
        <v>565</v>
      </c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2.5" hidden="1" customHeight="1">
      <c r="A113" s="25" t="s">
        <v>566</v>
      </c>
      <c r="B113" s="26">
        <v>5.58532438173E11</v>
      </c>
      <c r="C113" s="26" t="s">
        <v>205</v>
      </c>
      <c r="D113" s="26" t="s">
        <v>206</v>
      </c>
      <c r="E113" s="27" t="s">
        <v>72</v>
      </c>
      <c r="F113" s="26" t="s">
        <v>182</v>
      </c>
      <c r="G113" s="25" t="s">
        <v>567</v>
      </c>
      <c r="H113" s="25" t="s">
        <v>568</v>
      </c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2.5" hidden="1" customHeight="1">
      <c r="A114" s="28" t="s">
        <v>569</v>
      </c>
      <c r="B114" s="26">
        <v>5.58532441096E11</v>
      </c>
      <c r="C114" s="26" t="s">
        <v>205</v>
      </c>
      <c r="D114" s="26" t="s">
        <v>206</v>
      </c>
      <c r="E114" s="27" t="s">
        <v>72</v>
      </c>
      <c r="F114" s="26" t="s">
        <v>151</v>
      </c>
      <c r="G114" s="25" t="s">
        <v>570</v>
      </c>
      <c r="H114" s="25" t="s">
        <v>571</v>
      </c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2.5" hidden="1" customHeight="1">
      <c r="A115" s="28" t="s">
        <v>572</v>
      </c>
      <c r="B115" s="26">
        <v>5.58532914177E11</v>
      </c>
      <c r="C115" s="26" t="s">
        <v>205</v>
      </c>
      <c r="D115" s="26" t="s">
        <v>206</v>
      </c>
      <c r="E115" s="27" t="s">
        <v>108</v>
      </c>
      <c r="F115" s="26" t="s">
        <v>151</v>
      </c>
      <c r="G115" s="25" t="s">
        <v>573</v>
      </c>
      <c r="H115" s="25" t="s">
        <v>574</v>
      </c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2.5" hidden="1" customHeight="1">
      <c r="A116" s="25" t="s">
        <v>575</v>
      </c>
      <c r="B116" s="26">
        <v>5.58532248464E11</v>
      </c>
      <c r="C116" s="26" t="s">
        <v>205</v>
      </c>
      <c r="D116" s="26" t="s">
        <v>206</v>
      </c>
      <c r="E116" s="27" t="s">
        <v>576</v>
      </c>
      <c r="F116" s="26" t="s">
        <v>151</v>
      </c>
      <c r="G116" s="25" t="s">
        <v>577</v>
      </c>
      <c r="H116" s="25" t="s">
        <v>349</v>
      </c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2.5" hidden="1" customHeight="1">
      <c r="A117" s="28" t="s">
        <v>578</v>
      </c>
      <c r="B117" s="26">
        <v>5.58134274803E11</v>
      </c>
      <c r="C117" s="26" t="s">
        <v>170</v>
      </c>
      <c r="D117" s="26" t="s">
        <v>579</v>
      </c>
      <c r="E117" s="27" t="s">
        <v>106</v>
      </c>
      <c r="F117" s="26" t="s">
        <v>196</v>
      </c>
      <c r="G117" s="25" t="s">
        <v>580</v>
      </c>
      <c r="H117" s="25" t="s">
        <v>272</v>
      </c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2.5" hidden="1" customHeight="1">
      <c r="A118" s="25" t="s">
        <v>581</v>
      </c>
      <c r="B118" s="26">
        <v>5.585985938664E12</v>
      </c>
      <c r="C118" s="26" t="s">
        <v>205</v>
      </c>
      <c r="D118" s="26" t="s">
        <v>206</v>
      </c>
      <c r="E118" s="27" t="s">
        <v>106</v>
      </c>
      <c r="F118" s="26" t="s">
        <v>196</v>
      </c>
      <c r="G118" s="25" t="s">
        <v>582</v>
      </c>
      <c r="H118" s="25" t="s">
        <v>574</v>
      </c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2.5" hidden="1" customHeight="1">
      <c r="A119" s="25" t="s">
        <v>583</v>
      </c>
      <c r="B119" s="26">
        <v>5.58532711358E11</v>
      </c>
      <c r="C119" s="26" t="s">
        <v>205</v>
      </c>
      <c r="D119" s="26" t="s">
        <v>206</v>
      </c>
      <c r="E119" s="27" t="s">
        <v>72</v>
      </c>
      <c r="F119" s="26" t="s">
        <v>151</v>
      </c>
      <c r="G119" s="25" t="s">
        <v>584</v>
      </c>
      <c r="H119" s="25" t="s">
        <v>585</v>
      </c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2.5" hidden="1" customHeight="1">
      <c r="A120" s="25" t="s">
        <v>586</v>
      </c>
      <c r="B120" s="26">
        <v>5.5853281784E11</v>
      </c>
      <c r="C120" s="26" t="s">
        <v>205</v>
      </c>
      <c r="D120" s="26" t="s">
        <v>206</v>
      </c>
      <c r="E120" s="27" t="s">
        <v>110</v>
      </c>
      <c r="F120" s="26" t="s">
        <v>151</v>
      </c>
      <c r="G120" s="25" t="s">
        <v>587</v>
      </c>
      <c r="H120" s="25" t="s">
        <v>588</v>
      </c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2.5" hidden="1" customHeight="1">
      <c r="A121" s="25" t="s">
        <v>589</v>
      </c>
      <c r="B121" s="26">
        <v>5.58532244315E11</v>
      </c>
      <c r="C121" s="26" t="s">
        <v>205</v>
      </c>
      <c r="D121" s="26" t="s">
        <v>206</v>
      </c>
      <c r="E121" s="27" t="s">
        <v>72</v>
      </c>
      <c r="F121" s="26" t="s">
        <v>151</v>
      </c>
      <c r="G121" s="25" t="s">
        <v>590</v>
      </c>
      <c r="H121" s="25" t="s">
        <v>591</v>
      </c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2.5" hidden="1" customHeight="1">
      <c r="A122" s="28" t="s">
        <v>592</v>
      </c>
      <c r="B122" s="26">
        <v>5.5853227141E11</v>
      </c>
      <c r="C122" s="26" t="s">
        <v>205</v>
      </c>
      <c r="D122" s="26" t="s">
        <v>206</v>
      </c>
      <c r="E122" s="27" t="s">
        <v>106</v>
      </c>
      <c r="F122" s="26" t="s">
        <v>196</v>
      </c>
      <c r="G122" s="25" t="s">
        <v>593</v>
      </c>
      <c r="H122" s="25" t="s">
        <v>594</v>
      </c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2.5" hidden="1" customHeight="1">
      <c r="A123" s="25" t="s">
        <v>595</v>
      </c>
      <c r="B123" s="26">
        <v>5.585992891529E12</v>
      </c>
      <c r="C123" s="26" t="s">
        <v>205</v>
      </c>
      <c r="D123" s="26" t="s">
        <v>206</v>
      </c>
      <c r="E123" s="27" t="s">
        <v>57</v>
      </c>
      <c r="F123" s="26" t="s">
        <v>151</v>
      </c>
      <c r="G123" s="25" t="s">
        <v>596</v>
      </c>
      <c r="H123" s="25" t="s">
        <v>349</v>
      </c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2.5" hidden="1" customHeight="1">
      <c r="A124" s="25" t="s">
        <v>597</v>
      </c>
      <c r="B124" s="26">
        <v>5.58530214637E11</v>
      </c>
      <c r="C124" s="26" t="s">
        <v>205</v>
      </c>
      <c r="D124" s="26" t="s">
        <v>206</v>
      </c>
      <c r="E124" s="27" t="s">
        <v>108</v>
      </c>
      <c r="F124" s="26" t="s">
        <v>182</v>
      </c>
      <c r="G124" s="25" t="s">
        <v>598</v>
      </c>
      <c r="H124" s="25" t="s">
        <v>599</v>
      </c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2.5" hidden="1" customHeight="1">
      <c r="A125" s="25" t="s">
        <v>600</v>
      </c>
      <c r="B125" s="26">
        <v>5.581979013255E12</v>
      </c>
      <c r="C125" s="26" t="s">
        <v>170</v>
      </c>
      <c r="D125" s="26" t="s">
        <v>579</v>
      </c>
      <c r="E125" s="27" t="s">
        <v>57</v>
      </c>
      <c r="F125" s="26" t="s">
        <v>151</v>
      </c>
      <c r="G125" s="25" t="s">
        <v>601</v>
      </c>
      <c r="H125" s="25" t="s">
        <v>311</v>
      </c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2.5" hidden="1" customHeight="1">
      <c r="A126" s="28" t="s">
        <v>602</v>
      </c>
      <c r="B126" s="26">
        <v>5.58130114221E11</v>
      </c>
      <c r="C126" s="26" t="s">
        <v>170</v>
      </c>
      <c r="D126" s="26" t="s">
        <v>579</v>
      </c>
      <c r="E126" s="27" t="s">
        <v>57</v>
      </c>
      <c r="F126" s="26" t="s">
        <v>151</v>
      </c>
      <c r="G126" s="25" t="s">
        <v>603</v>
      </c>
      <c r="H126" s="25" t="s">
        <v>604</v>
      </c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2.5" hidden="1" customHeight="1">
      <c r="A127" s="25" t="s">
        <v>605</v>
      </c>
      <c r="B127" s="26">
        <v>5.58132442791E11</v>
      </c>
      <c r="C127" s="26" t="s">
        <v>170</v>
      </c>
      <c r="D127" s="26" t="s">
        <v>579</v>
      </c>
      <c r="E127" s="27" t="s">
        <v>110</v>
      </c>
      <c r="F127" s="26" t="s">
        <v>151</v>
      </c>
      <c r="G127" s="25" t="s">
        <v>606</v>
      </c>
      <c r="H127" s="25" t="s">
        <v>574</v>
      </c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2.5" hidden="1" customHeight="1">
      <c r="A128" s="25" t="s">
        <v>607</v>
      </c>
      <c r="B128" s="26">
        <v>5.58130111111E11</v>
      </c>
      <c r="C128" s="26" t="s">
        <v>170</v>
      </c>
      <c r="D128" s="26" t="s">
        <v>579</v>
      </c>
      <c r="E128" s="27" t="s">
        <v>62</v>
      </c>
      <c r="F128" s="26" t="s">
        <v>151</v>
      </c>
      <c r="G128" s="25" t="s">
        <v>608</v>
      </c>
      <c r="H128" s="25" t="s">
        <v>609</v>
      </c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2.5" hidden="1" customHeight="1">
      <c r="A129" s="28" t="s">
        <v>610</v>
      </c>
      <c r="B129" s="26">
        <v>8.1984366204E10</v>
      </c>
      <c r="C129" s="26" t="s">
        <v>170</v>
      </c>
      <c r="D129" s="26" t="s">
        <v>579</v>
      </c>
      <c r="E129" s="27" t="s">
        <v>611</v>
      </c>
      <c r="F129" s="26" t="s">
        <v>196</v>
      </c>
      <c r="G129" s="25" t="s">
        <v>612</v>
      </c>
      <c r="H129" s="25" t="s">
        <v>574</v>
      </c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2.5" hidden="1" customHeight="1">
      <c r="A130" s="44" t="s">
        <v>613</v>
      </c>
      <c r="B130" s="36">
        <v>8.1985194439E10</v>
      </c>
      <c r="C130" s="36" t="s">
        <v>170</v>
      </c>
      <c r="D130" s="36" t="s">
        <v>579</v>
      </c>
      <c r="E130" s="37" t="s">
        <v>57</v>
      </c>
      <c r="F130" s="36" t="s">
        <v>196</v>
      </c>
      <c r="G130" s="35" t="s">
        <v>614</v>
      </c>
      <c r="H130" s="25" t="s">
        <v>615</v>
      </c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2.5" hidden="1" customHeight="1">
      <c r="A131" s="25" t="s">
        <v>616</v>
      </c>
      <c r="B131" s="26">
        <v>5.58433458432E11</v>
      </c>
      <c r="C131" s="26" t="s">
        <v>544</v>
      </c>
      <c r="D131" s="26" t="s">
        <v>617</v>
      </c>
      <c r="E131" s="27" t="s">
        <v>62</v>
      </c>
      <c r="F131" s="26" t="s">
        <v>196</v>
      </c>
      <c r="G131" s="25" t="s">
        <v>618</v>
      </c>
      <c r="H131" s="25" t="s">
        <v>619</v>
      </c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2.5" hidden="1" customHeight="1">
      <c r="A132" s="25" t="s">
        <v>620</v>
      </c>
      <c r="B132" s="26">
        <v>5.584999109266E12</v>
      </c>
      <c r="C132" s="26" t="s">
        <v>544</v>
      </c>
      <c r="D132" s="26" t="s">
        <v>545</v>
      </c>
      <c r="E132" s="27" t="s">
        <v>274</v>
      </c>
      <c r="F132" s="26" t="s">
        <v>151</v>
      </c>
      <c r="G132" s="25" t="s">
        <v>621</v>
      </c>
      <c r="H132" s="25" t="s">
        <v>622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2.5" hidden="1" customHeight="1">
      <c r="A133" s="28" t="s">
        <v>623</v>
      </c>
      <c r="B133" s="26">
        <v>5.521995832692E12</v>
      </c>
      <c r="C133" s="26" t="s">
        <v>149</v>
      </c>
      <c r="D133" s="26" t="s">
        <v>624</v>
      </c>
      <c r="E133" s="27" t="s">
        <v>37</v>
      </c>
      <c r="F133" s="26" t="s">
        <v>151</v>
      </c>
      <c r="G133" s="25" t="s">
        <v>625</v>
      </c>
      <c r="H133" s="25" t="s">
        <v>295</v>
      </c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2.5" hidden="1" customHeight="1">
      <c r="A134" s="25" t="s">
        <v>626</v>
      </c>
      <c r="B134" s="26">
        <v>5.52124849031E11</v>
      </c>
      <c r="C134" s="26" t="s">
        <v>149</v>
      </c>
      <c r="D134" s="26" t="s">
        <v>624</v>
      </c>
      <c r="E134" s="27" t="s">
        <v>627</v>
      </c>
      <c r="F134" s="26" t="s">
        <v>151</v>
      </c>
      <c r="G134" s="25" t="s">
        <v>628</v>
      </c>
      <c r="H134" s="25" t="s">
        <v>629</v>
      </c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2.5" hidden="1" customHeight="1">
      <c r="A135" s="25" t="s">
        <v>630</v>
      </c>
      <c r="B135" s="26">
        <v>5.52120517036E11</v>
      </c>
      <c r="C135" s="26" t="s">
        <v>149</v>
      </c>
      <c r="D135" s="26" t="s">
        <v>624</v>
      </c>
      <c r="E135" s="27" t="s">
        <v>631</v>
      </c>
      <c r="F135" s="26" t="s">
        <v>151</v>
      </c>
      <c r="G135" s="25" t="s">
        <v>632</v>
      </c>
      <c r="H135" s="25" t="s">
        <v>633</v>
      </c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2.5" hidden="1" customHeight="1">
      <c r="A136" s="25" t="s">
        <v>634</v>
      </c>
      <c r="B136" s="26">
        <v>5.52124932866E11</v>
      </c>
      <c r="C136" s="26" t="s">
        <v>149</v>
      </c>
      <c r="D136" s="26" t="s">
        <v>624</v>
      </c>
      <c r="E136" s="27" t="s">
        <v>5</v>
      </c>
      <c r="F136" s="26" t="s">
        <v>151</v>
      </c>
      <c r="G136" s="25" t="s">
        <v>635</v>
      </c>
      <c r="H136" s="25" t="s">
        <v>636</v>
      </c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2.5" hidden="1" customHeight="1">
      <c r="A137" s="25" t="s">
        <v>637</v>
      </c>
      <c r="B137" s="26">
        <v>5.52124923464E11</v>
      </c>
      <c r="C137" s="26" t="s">
        <v>149</v>
      </c>
      <c r="D137" s="26" t="s">
        <v>624</v>
      </c>
      <c r="E137" s="27" t="s">
        <v>72</v>
      </c>
      <c r="F137" s="26" t="s">
        <v>151</v>
      </c>
      <c r="G137" s="25" t="s">
        <v>638</v>
      </c>
      <c r="H137" s="25" t="s">
        <v>418</v>
      </c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2.5" hidden="1" customHeight="1">
      <c r="A138" s="25" t="s">
        <v>639</v>
      </c>
      <c r="B138" s="26">
        <v>5.52124202476E11</v>
      </c>
      <c r="C138" s="26" t="s">
        <v>149</v>
      </c>
      <c r="D138" s="26" t="s">
        <v>624</v>
      </c>
      <c r="E138" s="27" t="s">
        <v>37</v>
      </c>
      <c r="F138" s="26" t="s">
        <v>151</v>
      </c>
      <c r="G138" s="25" t="s">
        <v>640</v>
      </c>
      <c r="H138" s="25" t="s">
        <v>418</v>
      </c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2.5" hidden="1" customHeight="1">
      <c r="A139" s="25" t="s">
        <v>641</v>
      </c>
      <c r="B139" s="26">
        <v>5.52125112777E11</v>
      </c>
      <c r="C139" s="26" t="s">
        <v>149</v>
      </c>
      <c r="D139" s="26" t="s">
        <v>624</v>
      </c>
      <c r="E139" s="27" t="s">
        <v>37</v>
      </c>
      <c r="F139" s="26" t="s">
        <v>151</v>
      </c>
      <c r="G139" s="25" t="s">
        <v>642</v>
      </c>
      <c r="H139" s="25" t="s">
        <v>643</v>
      </c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2.5" hidden="1" customHeight="1">
      <c r="A140" s="25" t="s">
        <v>644</v>
      </c>
      <c r="B140" s="26">
        <v>5.52120517366E11</v>
      </c>
      <c r="C140" s="26" t="s">
        <v>149</v>
      </c>
      <c r="D140" s="26" t="s">
        <v>624</v>
      </c>
      <c r="E140" s="27" t="s">
        <v>645</v>
      </c>
      <c r="F140" s="26" t="s">
        <v>196</v>
      </c>
      <c r="G140" s="25" t="s">
        <v>646</v>
      </c>
      <c r="H140" s="25" t="s">
        <v>647</v>
      </c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2.5" hidden="1" customHeight="1">
      <c r="A141" s="25" t="s">
        <v>648</v>
      </c>
      <c r="B141" s="26">
        <v>5.52135026028E11</v>
      </c>
      <c r="C141" s="26" t="s">
        <v>149</v>
      </c>
      <c r="D141" s="26" t="s">
        <v>624</v>
      </c>
      <c r="E141" s="27" t="s">
        <v>367</v>
      </c>
      <c r="F141" s="26" t="s">
        <v>151</v>
      </c>
      <c r="G141" s="25" t="s">
        <v>649</v>
      </c>
      <c r="H141" s="25" t="s">
        <v>643</v>
      </c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2.5" hidden="1" customHeight="1">
      <c r="A142" s="25" t="s">
        <v>650</v>
      </c>
      <c r="B142" s="26">
        <v>5.52122052567E11</v>
      </c>
      <c r="C142" s="26" t="s">
        <v>149</v>
      </c>
      <c r="D142" s="26" t="s">
        <v>624</v>
      </c>
      <c r="E142" s="27" t="s">
        <v>15</v>
      </c>
      <c r="F142" s="26" t="s">
        <v>151</v>
      </c>
      <c r="G142" s="25" t="s">
        <v>651</v>
      </c>
      <c r="H142" s="25" t="s">
        <v>349</v>
      </c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2.5" hidden="1" customHeight="1">
      <c r="A143" s="28" t="s">
        <v>652</v>
      </c>
      <c r="B143" s="26">
        <v>5.521964462634E12</v>
      </c>
      <c r="C143" s="26" t="s">
        <v>149</v>
      </c>
      <c r="D143" s="26" t="s">
        <v>624</v>
      </c>
      <c r="E143" s="27" t="s">
        <v>653</v>
      </c>
      <c r="F143" s="26" t="s">
        <v>196</v>
      </c>
      <c r="G143" s="25" t="s">
        <v>654</v>
      </c>
      <c r="H143" s="25" t="s">
        <v>604</v>
      </c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2.5" hidden="1" customHeight="1">
      <c r="A144" s="25" t="s">
        <v>655</v>
      </c>
      <c r="B144" s="26">
        <v>5.52133222204E11</v>
      </c>
      <c r="C144" s="26" t="s">
        <v>149</v>
      </c>
      <c r="D144" s="26" t="s">
        <v>624</v>
      </c>
      <c r="E144" s="27" t="s">
        <v>274</v>
      </c>
      <c r="F144" s="26" t="s">
        <v>151</v>
      </c>
      <c r="G144" s="25" t="s">
        <v>656</v>
      </c>
      <c r="H144" s="25" t="s">
        <v>657</v>
      </c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2.5" hidden="1" customHeight="1">
      <c r="A145" s="25" t="s">
        <v>658</v>
      </c>
      <c r="B145" s="26">
        <v>5.52133223417E11</v>
      </c>
      <c r="C145" s="26" t="s">
        <v>149</v>
      </c>
      <c r="D145" s="26" t="s">
        <v>624</v>
      </c>
      <c r="E145" s="27" t="s">
        <v>659</v>
      </c>
      <c r="F145" s="26" t="s">
        <v>151</v>
      </c>
      <c r="G145" s="25" t="s">
        <v>660</v>
      </c>
      <c r="H145" s="25" t="s">
        <v>418</v>
      </c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2.5" hidden="1" customHeight="1">
      <c r="A146" s="25" t="s">
        <v>661</v>
      </c>
      <c r="B146" s="26">
        <v>5.52125492852E11</v>
      </c>
      <c r="C146" s="26" t="s">
        <v>149</v>
      </c>
      <c r="D146" s="26" t="s">
        <v>624</v>
      </c>
      <c r="E146" s="27" t="s">
        <v>332</v>
      </c>
      <c r="F146" s="26" t="s">
        <v>151</v>
      </c>
      <c r="G146" s="25" t="s">
        <v>662</v>
      </c>
      <c r="H146" s="25" t="s">
        <v>295</v>
      </c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2.5" hidden="1" customHeight="1">
      <c r="A147" s="25" t="s">
        <v>663</v>
      </c>
      <c r="B147" s="26">
        <v>5.52122353466E11</v>
      </c>
      <c r="C147" s="26" t="s">
        <v>149</v>
      </c>
      <c r="D147" s="26" t="s">
        <v>624</v>
      </c>
      <c r="E147" s="27" t="s">
        <v>11</v>
      </c>
      <c r="F147" s="26" t="s">
        <v>182</v>
      </c>
      <c r="G147" s="25" t="s">
        <v>664</v>
      </c>
      <c r="H147" s="25" t="s">
        <v>643</v>
      </c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22.5" hidden="1" customHeight="1">
      <c r="A148" s="25" t="s">
        <v>665</v>
      </c>
      <c r="B148" s="26">
        <v>5.52122470953E11</v>
      </c>
      <c r="C148" s="26" t="s">
        <v>149</v>
      </c>
      <c r="D148" s="26" t="s">
        <v>624</v>
      </c>
      <c r="E148" s="27" t="s">
        <v>44</v>
      </c>
      <c r="F148" s="26" t="s">
        <v>151</v>
      </c>
      <c r="G148" s="25" t="s">
        <v>666</v>
      </c>
      <c r="H148" s="25" t="s">
        <v>667</v>
      </c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22.5" hidden="1" customHeight="1">
      <c r="A149" s="25" t="s">
        <v>668</v>
      </c>
      <c r="B149" s="26">
        <v>5.52122353631E11</v>
      </c>
      <c r="C149" s="26" t="s">
        <v>149</v>
      </c>
      <c r="D149" s="26" t="s">
        <v>624</v>
      </c>
      <c r="E149" s="27" t="s">
        <v>5</v>
      </c>
      <c r="F149" s="26" t="s">
        <v>151</v>
      </c>
      <c r="G149" s="25" t="s">
        <v>669</v>
      </c>
      <c r="H149" s="25" t="s">
        <v>418</v>
      </c>
    </row>
    <row r="150" ht="22.5" hidden="1" customHeight="1">
      <c r="A150" s="25" t="s">
        <v>670</v>
      </c>
      <c r="B150" s="26">
        <v>5.5212247678E11</v>
      </c>
      <c r="C150" s="26" t="s">
        <v>149</v>
      </c>
      <c r="D150" s="26" t="s">
        <v>624</v>
      </c>
      <c r="E150" s="27" t="s">
        <v>281</v>
      </c>
      <c r="F150" s="26" t="s">
        <v>196</v>
      </c>
      <c r="G150" s="25" t="s">
        <v>671</v>
      </c>
      <c r="H150" s="25" t="s">
        <v>672</v>
      </c>
    </row>
    <row r="151" ht="22.5" hidden="1" customHeight="1">
      <c r="A151" s="28" t="s">
        <v>673</v>
      </c>
      <c r="B151" s="26">
        <v>5.581997551992E12</v>
      </c>
      <c r="C151" s="26" t="s">
        <v>170</v>
      </c>
      <c r="D151" s="26" t="s">
        <v>186</v>
      </c>
      <c r="E151" s="27" t="s">
        <v>674</v>
      </c>
      <c r="F151" s="29"/>
      <c r="G151" s="25" t="s">
        <v>675</v>
      </c>
      <c r="H151" s="48"/>
    </row>
    <row r="152" ht="22.5" hidden="1" customHeight="1">
      <c r="A152" s="38" t="s">
        <v>676</v>
      </c>
      <c r="B152" s="36" t="s">
        <v>677</v>
      </c>
      <c r="C152" s="36" t="s">
        <v>149</v>
      </c>
      <c r="D152" s="36" t="s">
        <v>678</v>
      </c>
      <c r="E152" s="37" t="s">
        <v>108</v>
      </c>
      <c r="F152" s="36" t="s">
        <v>679</v>
      </c>
      <c r="G152" s="35" t="s">
        <v>680</v>
      </c>
      <c r="H152" s="35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22.5" hidden="1" customHeight="1">
      <c r="A153" s="28" t="s">
        <v>681</v>
      </c>
      <c r="B153" s="26">
        <v>5.522999636685E12</v>
      </c>
      <c r="C153" s="36" t="s">
        <v>149</v>
      </c>
      <c r="D153" s="26" t="s">
        <v>682</v>
      </c>
      <c r="E153" s="27" t="s">
        <v>106</v>
      </c>
      <c r="F153" s="26" t="s">
        <v>683</v>
      </c>
      <c r="G153" s="25" t="s">
        <v>684</v>
      </c>
      <c r="H153" s="25" t="s">
        <v>685</v>
      </c>
    </row>
    <row r="154" ht="22.5" hidden="1" customHeight="1">
      <c r="A154" s="28" t="s">
        <v>686</v>
      </c>
      <c r="B154" s="26">
        <v>5.57999361046E11</v>
      </c>
      <c r="C154" s="26" t="s">
        <v>242</v>
      </c>
      <c r="D154" s="26" t="s">
        <v>243</v>
      </c>
      <c r="E154" s="27" t="s">
        <v>687</v>
      </c>
      <c r="F154" s="26" t="s">
        <v>688</v>
      </c>
      <c r="G154" s="25" t="s">
        <v>689</v>
      </c>
      <c r="H154" s="48"/>
    </row>
    <row r="155" ht="22.5" hidden="1" customHeight="1">
      <c r="A155" s="28" t="s">
        <v>690</v>
      </c>
      <c r="B155" s="26">
        <v>5.57999441317E11</v>
      </c>
      <c r="C155" s="26" t="s">
        <v>242</v>
      </c>
      <c r="D155" s="26" t="s">
        <v>243</v>
      </c>
      <c r="E155" s="27" t="s">
        <v>219</v>
      </c>
      <c r="F155" s="26" t="s">
        <v>162</v>
      </c>
      <c r="G155" s="25" t="s">
        <v>691</v>
      </c>
      <c r="H155" s="48"/>
    </row>
    <row r="156" ht="22.5" hidden="1" customHeight="1">
      <c r="A156" s="28" t="s">
        <v>692</v>
      </c>
      <c r="B156" s="26" t="s">
        <v>693</v>
      </c>
      <c r="C156" s="26" t="s">
        <v>242</v>
      </c>
      <c r="D156" s="26" t="s">
        <v>243</v>
      </c>
      <c r="E156" s="27" t="s">
        <v>645</v>
      </c>
      <c r="F156" s="26" t="s">
        <v>679</v>
      </c>
      <c r="G156" s="28" t="s">
        <v>694</v>
      </c>
      <c r="H156" s="48"/>
    </row>
    <row r="157" ht="22.5" hidden="1" customHeight="1">
      <c r="A157" s="38" t="s">
        <v>695</v>
      </c>
      <c r="B157" s="36">
        <v>5.579999300659E12</v>
      </c>
      <c r="C157" s="36" t="s">
        <v>242</v>
      </c>
      <c r="D157" s="36" t="s">
        <v>696</v>
      </c>
      <c r="E157" s="32" t="s">
        <v>697</v>
      </c>
      <c r="F157" s="36" t="s">
        <v>151</v>
      </c>
      <c r="G157" s="51" t="s">
        <v>698</v>
      </c>
      <c r="H157" s="35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22.5" hidden="1" customHeight="1">
      <c r="A158" s="28" t="s">
        <v>699</v>
      </c>
      <c r="B158" s="26" t="s">
        <v>700</v>
      </c>
      <c r="C158" s="26" t="s">
        <v>701</v>
      </c>
      <c r="D158" s="26" t="s">
        <v>702</v>
      </c>
      <c r="E158" s="27" t="s">
        <v>354</v>
      </c>
      <c r="F158" s="26" t="s">
        <v>151</v>
      </c>
      <c r="G158" s="25" t="s">
        <v>703</v>
      </c>
      <c r="H158" s="43" t="s">
        <v>704</v>
      </c>
    </row>
    <row r="159" ht="22.5" hidden="1" customHeight="1">
      <c r="A159" s="25" t="s">
        <v>705</v>
      </c>
      <c r="B159" s="26">
        <v>5.53232179579E11</v>
      </c>
      <c r="C159" s="26" t="s">
        <v>166</v>
      </c>
      <c r="D159" s="26" t="s">
        <v>706</v>
      </c>
      <c r="E159" s="27" t="s">
        <v>72</v>
      </c>
      <c r="F159" s="26" t="s">
        <v>196</v>
      </c>
      <c r="G159" s="25" t="s">
        <v>707</v>
      </c>
      <c r="H159" s="25" t="s">
        <v>708</v>
      </c>
    </row>
    <row r="160" ht="22.5" hidden="1" customHeight="1">
      <c r="A160" s="25" t="s">
        <v>709</v>
      </c>
      <c r="B160" s="26">
        <v>5.55430417659E11</v>
      </c>
      <c r="C160" s="26" t="s">
        <v>361</v>
      </c>
      <c r="D160" s="26" t="s">
        <v>710</v>
      </c>
      <c r="E160" s="27" t="s">
        <v>108</v>
      </c>
      <c r="F160" s="26" t="s">
        <v>151</v>
      </c>
      <c r="G160" s="25" t="s">
        <v>711</v>
      </c>
      <c r="H160" s="25" t="s">
        <v>272</v>
      </c>
    </row>
    <row r="161" ht="22.5" hidden="1" customHeight="1">
      <c r="A161" s="25" t="s">
        <v>712</v>
      </c>
      <c r="B161" s="26">
        <v>5.55435382289E11</v>
      </c>
      <c r="C161" s="26" t="s">
        <v>361</v>
      </c>
      <c r="D161" s="26" t="s">
        <v>710</v>
      </c>
      <c r="E161" s="27" t="s">
        <v>108</v>
      </c>
      <c r="F161" s="26" t="s">
        <v>151</v>
      </c>
      <c r="G161" s="25" t="s">
        <v>713</v>
      </c>
      <c r="H161" s="25" t="s">
        <v>714</v>
      </c>
    </row>
    <row r="162" ht="22.5" hidden="1" customHeight="1">
      <c r="A162" s="25" t="s">
        <v>715</v>
      </c>
      <c r="B162" s="26">
        <v>5.55430672295E11</v>
      </c>
      <c r="C162" s="26" t="s">
        <v>361</v>
      </c>
      <c r="D162" s="26" t="s">
        <v>710</v>
      </c>
      <c r="E162" s="27" t="s">
        <v>716</v>
      </c>
      <c r="F162" s="26" t="s">
        <v>151</v>
      </c>
      <c r="G162" s="25" t="s">
        <v>717</v>
      </c>
      <c r="H162" s="25" t="s">
        <v>718</v>
      </c>
    </row>
    <row r="163" ht="22.5" hidden="1" customHeight="1">
      <c r="A163" s="25" t="s">
        <v>719</v>
      </c>
      <c r="B163" s="26">
        <v>5.55432833054E11</v>
      </c>
      <c r="C163" s="26" t="s">
        <v>361</v>
      </c>
      <c r="D163" s="26" t="s">
        <v>710</v>
      </c>
      <c r="E163" s="27" t="s">
        <v>110</v>
      </c>
      <c r="F163" s="26" t="s">
        <v>196</v>
      </c>
      <c r="G163" s="25" t="s">
        <v>720</v>
      </c>
      <c r="H163" s="25" t="s">
        <v>721</v>
      </c>
    </row>
    <row r="164" ht="22.5" hidden="1" customHeight="1">
      <c r="A164" s="25" t="s">
        <v>722</v>
      </c>
      <c r="B164" s="26">
        <v>5.52433650297E11</v>
      </c>
      <c r="C164" s="26" t="s">
        <v>149</v>
      </c>
      <c r="D164" s="26" t="s">
        <v>723</v>
      </c>
      <c r="E164" s="27" t="s">
        <v>724</v>
      </c>
      <c r="F164" s="26" t="s">
        <v>182</v>
      </c>
      <c r="G164" s="25" t="s">
        <v>725</v>
      </c>
      <c r="H164" s="25" t="s">
        <v>629</v>
      </c>
    </row>
    <row r="165" ht="22.5" hidden="1" customHeight="1">
      <c r="A165" s="25" t="s">
        <v>726</v>
      </c>
      <c r="B165" s="26">
        <v>5.56832223744E11</v>
      </c>
      <c r="C165" s="26" t="s">
        <v>727</v>
      </c>
      <c r="D165" s="26" t="s">
        <v>728</v>
      </c>
      <c r="E165" s="27" t="s">
        <v>108</v>
      </c>
      <c r="F165" s="26" t="s">
        <v>151</v>
      </c>
      <c r="G165" s="25" t="s">
        <v>729</v>
      </c>
      <c r="H165" s="25" t="s">
        <v>272</v>
      </c>
    </row>
    <row r="166" ht="22.5" hidden="1" customHeight="1">
      <c r="A166" s="25" t="s">
        <v>730</v>
      </c>
      <c r="B166" s="26">
        <v>5.56832243595E11</v>
      </c>
      <c r="C166" s="26" t="s">
        <v>727</v>
      </c>
      <c r="D166" s="26" t="s">
        <v>728</v>
      </c>
      <c r="E166" s="27" t="s">
        <v>274</v>
      </c>
      <c r="F166" s="26" t="s">
        <v>196</v>
      </c>
      <c r="G166" s="25" t="s">
        <v>731</v>
      </c>
      <c r="H166" s="25" t="s">
        <v>732</v>
      </c>
    </row>
    <row r="167" ht="22.5" hidden="1" customHeight="1">
      <c r="A167" s="25" t="s">
        <v>733</v>
      </c>
      <c r="B167" s="26">
        <v>5.56899930235E12</v>
      </c>
      <c r="C167" s="26" t="s">
        <v>727</v>
      </c>
      <c r="D167" s="26" t="s">
        <v>728</v>
      </c>
      <c r="E167" s="27" t="s">
        <v>274</v>
      </c>
      <c r="F167" s="26" t="s">
        <v>196</v>
      </c>
      <c r="G167" s="25" t="s">
        <v>734</v>
      </c>
      <c r="H167" s="25" t="s">
        <v>735</v>
      </c>
    </row>
    <row r="168" ht="22.5" hidden="1" customHeight="1">
      <c r="A168" s="25" t="s">
        <v>736</v>
      </c>
      <c r="B168" s="26">
        <v>5.56832225515E11</v>
      </c>
      <c r="C168" s="26" t="s">
        <v>727</v>
      </c>
      <c r="D168" s="26" t="s">
        <v>728</v>
      </c>
      <c r="E168" s="27" t="s">
        <v>115</v>
      </c>
      <c r="F168" s="26" t="s">
        <v>151</v>
      </c>
      <c r="G168" s="25" t="s">
        <v>737</v>
      </c>
      <c r="H168" s="25" t="s">
        <v>738</v>
      </c>
    </row>
    <row r="169" ht="22.5" hidden="1" customHeight="1">
      <c r="A169" s="25" t="s">
        <v>739</v>
      </c>
      <c r="B169" s="26">
        <v>5.56832233536E11</v>
      </c>
      <c r="C169" s="26" t="s">
        <v>727</v>
      </c>
      <c r="D169" s="26" t="s">
        <v>728</v>
      </c>
      <c r="E169" s="27" t="s">
        <v>72</v>
      </c>
      <c r="F169" s="26" t="s">
        <v>151</v>
      </c>
      <c r="G169" s="25" t="s">
        <v>740</v>
      </c>
      <c r="H169" s="25" t="s">
        <v>272</v>
      </c>
    </row>
    <row r="170" ht="22.5" hidden="1" customHeight="1">
      <c r="A170" s="28" t="s">
        <v>741</v>
      </c>
      <c r="B170" s="26">
        <v>5.58632294627E11</v>
      </c>
      <c r="C170" s="26" t="s">
        <v>742</v>
      </c>
      <c r="D170" s="26" t="s">
        <v>743</v>
      </c>
      <c r="E170" s="27" t="s">
        <v>744</v>
      </c>
      <c r="F170" s="26" t="s">
        <v>196</v>
      </c>
      <c r="G170" s="25" t="s">
        <v>745</v>
      </c>
      <c r="H170" s="25" t="s">
        <v>746</v>
      </c>
    </row>
    <row r="171" ht="22.5" hidden="1" customHeight="1">
      <c r="A171" s="25" t="s">
        <v>747</v>
      </c>
      <c r="B171" s="26">
        <v>5.58630254552E11</v>
      </c>
      <c r="C171" s="26" t="s">
        <v>742</v>
      </c>
      <c r="D171" s="26" t="s">
        <v>743</v>
      </c>
      <c r="E171" s="27" t="s">
        <v>106</v>
      </c>
      <c r="F171" s="26" t="s">
        <v>748</v>
      </c>
      <c r="G171" s="25" t="s">
        <v>749</v>
      </c>
      <c r="H171" s="25" t="s">
        <v>349</v>
      </c>
    </row>
    <row r="172" ht="22.5" hidden="1" customHeight="1">
      <c r="A172" s="25" t="s">
        <v>750</v>
      </c>
      <c r="B172" s="26">
        <v>5.5633213305E11</v>
      </c>
      <c r="C172" s="26" t="s">
        <v>751</v>
      </c>
      <c r="D172" s="26" t="s">
        <v>752</v>
      </c>
      <c r="E172" s="27" t="s">
        <v>72</v>
      </c>
      <c r="F172" s="26" t="s">
        <v>151</v>
      </c>
      <c r="G172" s="25" t="s">
        <v>753</v>
      </c>
      <c r="H172" s="25" t="s">
        <v>754</v>
      </c>
    </row>
    <row r="173" ht="22.5" hidden="1" customHeight="1">
      <c r="A173" s="25" t="s">
        <v>755</v>
      </c>
      <c r="B173" s="26">
        <v>5.56332250245E11</v>
      </c>
      <c r="C173" s="26" t="s">
        <v>751</v>
      </c>
      <c r="D173" s="26" t="s">
        <v>752</v>
      </c>
      <c r="E173" s="27" t="s">
        <v>123</v>
      </c>
      <c r="F173" s="26" t="s">
        <v>182</v>
      </c>
      <c r="G173" s="25" t="s">
        <v>756</v>
      </c>
      <c r="H173" s="25" t="s">
        <v>757</v>
      </c>
    </row>
    <row r="174" ht="22.5" hidden="1" customHeight="1">
      <c r="A174" s="25" t="s">
        <v>758</v>
      </c>
      <c r="B174" s="26">
        <v>5.5633026704E11</v>
      </c>
      <c r="C174" s="26" t="s">
        <v>751</v>
      </c>
      <c r="D174" s="26" t="s">
        <v>752</v>
      </c>
      <c r="E174" s="27" t="s">
        <v>5</v>
      </c>
      <c r="F174" s="26" t="s">
        <v>151</v>
      </c>
      <c r="G174" s="25" t="s">
        <v>759</v>
      </c>
      <c r="H174" s="25" t="s">
        <v>622</v>
      </c>
    </row>
    <row r="175" ht="22.5" hidden="1" customHeight="1">
      <c r="A175" s="25" t="s">
        <v>760</v>
      </c>
      <c r="B175" s="26">
        <v>5.56399992299E12</v>
      </c>
      <c r="C175" s="26" t="s">
        <v>751</v>
      </c>
      <c r="D175" s="26" t="s">
        <v>752</v>
      </c>
      <c r="E175" s="27" t="s">
        <v>761</v>
      </c>
      <c r="F175" s="26" t="s">
        <v>151</v>
      </c>
      <c r="G175" s="25" t="s">
        <v>762</v>
      </c>
      <c r="H175" s="25" t="s">
        <v>763</v>
      </c>
    </row>
    <row r="176" ht="22.5" hidden="1" customHeight="1">
      <c r="A176" s="25" t="s">
        <v>764</v>
      </c>
      <c r="B176" s="26">
        <v>5.569999118594E12</v>
      </c>
      <c r="C176" s="26" t="s">
        <v>765</v>
      </c>
      <c r="D176" s="26" t="s">
        <v>766</v>
      </c>
      <c r="E176" s="27" t="s">
        <v>106</v>
      </c>
      <c r="F176" s="26" t="s">
        <v>151</v>
      </c>
      <c r="G176" s="25" t="s">
        <v>767</v>
      </c>
      <c r="H176" s="25" t="s">
        <v>768</v>
      </c>
    </row>
    <row r="177" ht="22.5" hidden="1" customHeight="1">
      <c r="A177" s="25" t="s">
        <v>769</v>
      </c>
      <c r="B177" s="26">
        <v>5.59198603822E12</v>
      </c>
      <c r="C177" s="26" t="s">
        <v>285</v>
      </c>
      <c r="D177" s="26" t="s">
        <v>286</v>
      </c>
      <c r="E177" s="27" t="s">
        <v>123</v>
      </c>
      <c r="F177" s="26" t="s">
        <v>151</v>
      </c>
      <c r="G177" s="25" t="s">
        <v>770</v>
      </c>
      <c r="H177" s="25" t="s">
        <v>771</v>
      </c>
    </row>
    <row r="178" ht="22.5" hidden="1" customHeight="1">
      <c r="A178" s="25" t="s">
        <v>772</v>
      </c>
      <c r="B178" s="26">
        <v>5.591993443568E12</v>
      </c>
      <c r="C178" s="26" t="s">
        <v>285</v>
      </c>
      <c r="D178" s="26" t="s">
        <v>286</v>
      </c>
      <c r="E178" s="27" t="s">
        <v>773</v>
      </c>
      <c r="F178" s="26" t="s">
        <v>151</v>
      </c>
      <c r="G178" s="25" t="s">
        <v>774</v>
      </c>
      <c r="H178" s="25" t="s">
        <v>775</v>
      </c>
    </row>
    <row r="179" ht="22.5" hidden="1" customHeight="1">
      <c r="A179" s="25" t="s">
        <v>776</v>
      </c>
      <c r="B179" s="26">
        <v>5.59132685751E11</v>
      </c>
      <c r="C179" s="26" t="s">
        <v>285</v>
      </c>
      <c r="D179" s="26" t="s">
        <v>286</v>
      </c>
      <c r="E179" s="27" t="s">
        <v>108</v>
      </c>
      <c r="F179" s="26" t="s">
        <v>182</v>
      </c>
      <c r="G179" s="25" t="s">
        <v>777</v>
      </c>
      <c r="H179" s="25" t="s">
        <v>272</v>
      </c>
    </row>
    <row r="180" ht="22.5" hidden="1" customHeight="1">
      <c r="A180" s="28" t="s">
        <v>778</v>
      </c>
      <c r="B180" s="26">
        <v>5.52226436383E11</v>
      </c>
      <c r="C180" s="26" t="s">
        <v>149</v>
      </c>
      <c r="D180" s="26" t="s">
        <v>779</v>
      </c>
      <c r="E180" s="27" t="s">
        <v>653</v>
      </c>
      <c r="F180" s="26" t="s">
        <v>151</v>
      </c>
      <c r="G180" s="25" t="s">
        <v>780</v>
      </c>
      <c r="H180" s="25" t="s">
        <v>629</v>
      </c>
    </row>
    <row r="181" ht="22.5" hidden="1" customHeight="1">
      <c r="A181" s="25" t="s">
        <v>781</v>
      </c>
      <c r="B181" s="26">
        <v>5.52226476589E11</v>
      </c>
      <c r="C181" s="26" t="s">
        <v>149</v>
      </c>
      <c r="D181" s="26" t="s">
        <v>779</v>
      </c>
      <c r="E181" s="27" t="s">
        <v>62</v>
      </c>
      <c r="F181" s="26" t="s">
        <v>151</v>
      </c>
      <c r="G181" s="25" t="s">
        <v>782</v>
      </c>
      <c r="H181" s="25" t="s">
        <v>643</v>
      </c>
    </row>
    <row r="182" ht="22.5" hidden="1" customHeight="1">
      <c r="A182" s="25" t="s">
        <v>783</v>
      </c>
      <c r="B182" s="26">
        <v>5.52220402193E11</v>
      </c>
      <c r="C182" s="26" t="s">
        <v>149</v>
      </c>
      <c r="D182" s="26" t="s">
        <v>779</v>
      </c>
      <c r="E182" s="27" t="s">
        <v>106</v>
      </c>
      <c r="F182" s="26" t="s">
        <v>196</v>
      </c>
      <c r="G182" s="25" t="s">
        <v>784</v>
      </c>
      <c r="H182" s="25" t="s">
        <v>629</v>
      </c>
    </row>
    <row r="183" ht="22.5" hidden="1" customHeight="1">
      <c r="A183" s="25" t="s">
        <v>785</v>
      </c>
      <c r="B183" s="26">
        <v>5.522997500267E12</v>
      </c>
      <c r="C183" s="26" t="s">
        <v>149</v>
      </c>
      <c r="D183" s="26" t="s">
        <v>779</v>
      </c>
      <c r="E183" s="27" t="s">
        <v>57</v>
      </c>
      <c r="F183" s="26" t="s">
        <v>151</v>
      </c>
      <c r="G183" s="25" t="s">
        <v>786</v>
      </c>
      <c r="H183" s="25" t="s">
        <v>787</v>
      </c>
    </row>
    <row r="184" ht="22.5" hidden="1" customHeight="1">
      <c r="A184" s="25" t="s">
        <v>788</v>
      </c>
      <c r="B184" s="26">
        <v>5.52226307972E11</v>
      </c>
      <c r="C184" s="26" t="s">
        <v>149</v>
      </c>
      <c r="D184" s="26" t="s">
        <v>779</v>
      </c>
      <c r="E184" s="27" t="s">
        <v>62</v>
      </c>
      <c r="F184" s="26" t="s">
        <v>151</v>
      </c>
      <c r="G184" s="25" t="s">
        <v>789</v>
      </c>
      <c r="H184" s="25" t="s">
        <v>771</v>
      </c>
    </row>
    <row r="185" ht="22.5" hidden="1" customHeight="1">
      <c r="A185" s="28" t="s">
        <v>790</v>
      </c>
      <c r="B185" s="26">
        <v>5.522998805314E12</v>
      </c>
      <c r="C185" s="26" t="s">
        <v>149</v>
      </c>
      <c r="D185" s="26" t="s">
        <v>791</v>
      </c>
      <c r="E185" s="27" t="s">
        <v>62</v>
      </c>
      <c r="F185" s="26" t="s">
        <v>151</v>
      </c>
      <c r="G185" s="25" t="s">
        <v>792</v>
      </c>
      <c r="H185" s="25" t="s">
        <v>793</v>
      </c>
    </row>
    <row r="186" ht="22.5" hidden="1" customHeight="1">
      <c r="A186" s="28" t="s">
        <v>794</v>
      </c>
      <c r="B186" s="26">
        <v>5.52299700818E12</v>
      </c>
      <c r="C186" s="26" t="s">
        <v>149</v>
      </c>
      <c r="D186" s="26" t="s">
        <v>150</v>
      </c>
      <c r="E186" s="27" t="s">
        <v>653</v>
      </c>
      <c r="F186" s="26" t="s">
        <v>151</v>
      </c>
      <c r="G186" s="25" t="s">
        <v>795</v>
      </c>
      <c r="H186" s="25" t="s">
        <v>796</v>
      </c>
    </row>
    <row r="187" ht="22.5" hidden="1" customHeight="1">
      <c r="A187" s="25" t="s">
        <v>797</v>
      </c>
      <c r="B187" s="26">
        <v>5.51332211316E11</v>
      </c>
      <c r="C187" s="26" t="s">
        <v>155</v>
      </c>
      <c r="D187" s="26" t="s">
        <v>798</v>
      </c>
      <c r="E187" s="27" t="s">
        <v>5</v>
      </c>
      <c r="F187" s="26" t="s">
        <v>151</v>
      </c>
      <c r="G187" s="25" t="s">
        <v>799</v>
      </c>
      <c r="H187" s="25" t="s">
        <v>800</v>
      </c>
    </row>
    <row r="188" ht="22.5" hidden="1" customHeight="1">
      <c r="A188" s="25" t="s">
        <v>801</v>
      </c>
      <c r="B188" s="26">
        <v>5.51332258518E11</v>
      </c>
      <c r="C188" s="26" t="s">
        <v>155</v>
      </c>
      <c r="D188" s="26" t="s">
        <v>798</v>
      </c>
      <c r="E188" s="27" t="s">
        <v>119</v>
      </c>
      <c r="F188" s="26" t="s">
        <v>151</v>
      </c>
      <c r="G188" s="25" t="s">
        <v>802</v>
      </c>
      <c r="H188" s="25" t="s">
        <v>803</v>
      </c>
    </row>
    <row r="189" ht="22.5" hidden="1" customHeight="1">
      <c r="A189" s="25" t="s">
        <v>804</v>
      </c>
      <c r="B189" s="26">
        <v>5.51333946779E11</v>
      </c>
      <c r="C189" s="26" t="s">
        <v>155</v>
      </c>
      <c r="D189" s="26" t="s">
        <v>798</v>
      </c>
      <c r="E189" s="27" t="s">
        <v>805</v>
      </c>
      <c r="F189" s="26" t="s">
        <v>151</v>
      </c>
      <c r="G189" s="25" t="s">
        <v>806</v>
      </c>
      <c r="H189" s="25" t="s">
        <v>622</v>
      </c>
    </row>
    <row r="190" ht="22.5" hidden="1" customHeight="1">
      <c r="A190" s="25" t="s">
        <v>807</v>
      </c>
      <c r="B190" s="26">
        <v>5.54130453936E11</v>
      </c>
      <c r="C190" s="26" t="s">
        <v>194</v>
      </c>
      <c r="D190" s="26" t="s">
        <v>195</v>
      </c>
      <c r="E190" s="27" t="s">
        <v>72</v>
      </c>
      <c r="F190" s="26" t="s">
        <v>151</v>
      </c>
      <c r="G190" s="25" t="s">
        <v>808</v>
      </c>
      <c r="H190" s="25" t="s">
        <v>809</v>
      </c>
    </row>
    <row r="191" ht="22.5" hidden="1" customHeight="1">
      <c r="A191" s="25" t="s">
        <v>810</v>
      </c>
      <c r="B191" s="26">
        <v>5.54733661835E11</v>
      </c>
      <c r="C191" s="26" t="s">
        <v>160</v>
      </c>
      <c r="D191" s="26" t="s">
        <v>811</v>
      </c>
      <c r="E191" s="27" t="s">
        <v>72</v>
      </c>
      <c r="F191" s="26" t="s">
        <v>196</v>
      </c>
      <c r="G191" s="25" t="s">
        <v>812</v>
      </c>
      <c r="H191" s="25" t="s">
        <v>269</v>
      </c>
    </row>
    <row r="192" ht="22.5" hidden="1" customHeight="1">
      <c r="A192" s="25" t="s">
        <v>813</v>
      </c>
      <c r="B192" s="26">
        <v>5.54730814896E11</v>
      </c>
      <c r="C192" s="26" t="s">
        <v>160</v>
      </c>
      <c r="D192" s="26" t="s">
        <v>811</v>
      </c>
      <c r="E192" s="27" t="s">
        <v>62</v>
      </c>
      <c r="F192" s="26" t="s">
        <v>151</v>
      </c>
      <c r="G192" s="25" t="s">
        <v>814</v>
      </c>
      <c r="H192" s="25" t="s">
        <v>815</v>
      </c>
    </row>
    <row r="193" ht="22.5" hidden="1" customHeight="1">
      <c r="A193" s="28" t="s">
        <v>816</v>
      </c>
      <c r="B193" s="26">
        <v>5.547991537816E12</v>
      </c>
      <c r="C193" s="26" t="s">
        <v>160</v>
      </c>
      <c r="D193" s="26" t="s">
        <v>811</v>
      </c>
      <c r="E193" s="27" t="s">
        <v>645</v>
      </c>
      <c r="F193" s="26" t="s">
        <v>151</v>
      </c>
      <c r="G193" s="25" t="s">
        <v>817</v>
      </c>
      <c r="H193" s="25" t="s">
        <v>818</v>
      </c>
    </row>
    <row r="194" ht="22.5" hidden="1" customHeight="1">
      <c r="A194" s="28" t="s">
        <v>819</v>
      </c>
      <c r="B194" s="26">
        <v>5.547991042255E12</v>
      </c>
      <c r="C194" s="26" t="s">
        <v>160</v>
      </c>
      <c r="D194" s="26" t="s">
        <v>811</v>
      </c>
      <c r="E194" s="27" t="s">
        <v>108</v>
      </c>
      <c r="F194" s="26" t="s">
        <v>151</v>
      </c>
      <c r="G194" s="25" t="s">
        <v>820</v>
      </c>
      <c r="H194" s="25" t="s">
        <v>821</v>
      </c>
    </row>
    <row r="195" ht="22.5" hidden="1" customHeight="1">
      <c r="A195" s="25" t="s">
        <v>822</v>
      </c>
      <c r="B195" s="26">
        <v>5.547997163488E12</v>
      </c>
      <c r="C195" s="26" t="s">
        <v>160</v>
      </c>
      <c r="D195" s="26" t="s">
        <v>811</v>
      </c>
      <c r="E195" s="27" t="s">
        <v>72</v>
      </c>
      <c r="F195" s="26" t="s">
        <v>151</v>
      </c>
      <c r="G195" s="25" t="s">
        <v>823</v>
      </c>
      <c r="H195" s="25" t="s">
        <v>272</v>
      </c>
    </row>
    <row r="196" ht="22.5" hidden="1" customHeight="1">
      <c r="A196" s="25" t="s">
        <v>824</v>
      </c>
      <c r="B196" s="26">
        <v>5.547997768874E12</v>
      </c>
      <c r="C196" s="26" t="s">
        <v>160</v>
      </c>
      <c r="D196" s="26" t="s">
        <v>825</v>
      </c>
      <c r="E196" s="27" t="s">
        <v>106</v>
      </c>
      <c r="F196" s="26" t="s">
        <v>151</v>
      </c>
      <c r="G196" s="25" t="s">
        <v>826</v>
      </c>
      <c r="H196" s="25" t="s">
        <v>827</v>
      </c>
    </row>
    <row r="197" ht="22.5" hidden="1" customHeight="1">
      <c r="A197" s="25" t="s">
        <v>828</v>
      </c>
      <c r="B197" s="26">
        <v>5.57135618962E11</v>
      </c>
      <c r="C197" s="26" t="s">
        <v>180</v>
      </c>
      <c r="D197" s="26" t="s">
        <v>461</v>
      </c>
      <c r="E197" s="27" t="s">
        <v>11</v>
      </c>
      <c r="F197" s="26" t="s">
        <v>151</v>
      </c>
      <c r="G197" s="25" t="s">
        <v>829</v>
      </c>
      <c r="H197" s="25" t="s">
        <v>295</v>
      </c>
    </row>
    <row r="198" ht="22.5" hidden="1" customHeight="1">
      <c r="A198" s="25" t="s">
        <v>830</v>
      </c>
      <c r="B198" s="26">
        <v>5.57132444588E11</v>
      </c>
      <c r="C198" s="26" t="s">
        <v>180</v>
      </c>
      <c r="D198" s="26" t="s">
        <v>461</v>
      </c>
      <c r="E198" s="27" t="s">
        <v>106</v>
      </c>
      <c r="F198" s="26" t="s">
        <v>196</v>
      </c>
      <c r="G198" s="25" t="s">
        <v>831</v>
      </c>
      <c r="H198" s="25" t="s">
        <v>622</v>
      </c>
    </row>
    <row r="199" ht="22.5" hidden="1" customHeight="1">
      <c r="A199" s="28" t="s">
        <v>832</v>
      </c>
      <c r="B199" s="26">
        <v>5.571996392078E12</v>
      </c>
      <c r="C199" s="26" t="s">
        <v>180</v>
      </c>
      <c r="D199" s="26" t="s">
        <v>461</v>
      </c>
      <c r="E199" s="27" t="s">
        <v>123</v>
      </c>
      <c r="F199" s="26" t="s">
        <v>151</v>
      </c>
      <c r="G199" s="25" t="s">
        <v>833</v>
      </c>
      <c r="H199" s="25" t="s">
        <v>834</v>
      </c>
    </row>
    <row r="200" ht="22.5" customHeight="1">
      <c r="A200" s="25" t="s">
        <v>835</v>
      </c>
      <c r="B200" s="26">
        <v>5.56135222007E11</v>
      </c>
      <c r="C200" s="26" t="s">
        <v>836</v>
      </c>
      <c r="D200" s="26" t="s">
        <v>837</v>
      </c>
      <c r="E200" s="27" t="s">
        <v>645</v>
      </c>
      <c r="F200" s="26" t="s">
        <v>151</v>
      </c>
      <c r="G200" s="25" t="s">
        <v>838</v>
      </c>
      <c r="H200" s="25" t="s">
        <v>272</v>
      </c>
    </row>
    <row r="201" ht="22.5" customHeight="1">
      <c r="A201" s="25" t="s">
        <v>839</v>
      </c>
      <c r="B201" s="26">
        <v>5.56132023533E11</v>
      </c>
      <c r="C201" s="26" t="s">
        <v>836</v>
      </c>
      <c r="D201" s="26" t="s">
        <v>837</v>
      </c>
      <c r="E201" s="27" t="s">
        <v>115</v>
      </c>
      <c r="F201" s="26" t="s">
        <v>196</v>
      </c>
      <c r="G201" s="25" t="s">
        <v>840</v>
      </c>
      <c r="H201" s="25" t="s">
        <v>272</v>
      </c>
    </row>
    <row r="202" ht="22.5" customHeight="1">
      <c r="A202" s="25" t="s">
        <v>841</v>
      </c>
      <c r="B202" s="26">
        <v>5.56137107707E11</v>
      </c>
      <c r="C202" s="26" t="s">
        <v>836</v>
      </c>
      <c r="D202" s="26" t="s">
        <v>837</v>
      </c>
      <c r="E202" s="27" t="s">
        <v>42</v>
      </c>
      <c r="F202" s="26" t="s">
        <v>151</v>
      </c>
      <c r="G202" s="25" t="s">
        <v>842</v>
      </c>
      <c r="H202" s="25" t="s">
        <v>843</v>
      </c>
    </row>
    <row r="203" ht="22.5" customHeight="1">
      <c r="A203" s="28" t="s">
        <v>844</v>
      </c>
      <c r="B203" s="52">
        <v>5.56139725023E11</v>
      </c>
      <c r="C203" s="52" t="s">
        <v>836</v>
      </c>
      <c r="D203" s="52" t="s">
        <v>837</v>
      </c>
      <c r="E203" s="53" t="s">
        <v>106</v>
      </c>
      <c r="F203" s="52" t="s">
        <v>151</v>
      </c>
      <c r="G203" s="28" t="s">
        <v>845</v>
      </c>
      <c r="H203" s="25" t="s">
        <v>846</v>
      </c>
    </row>
    <row r="204" ht="22.5" hidden="1" customHeight="1">
      <c r="A204" s="25" t="s">
        <v>847</v>
      </c>
      <c r="B204" s="26">
        <v>5.583998371555E12</v>
      </c>
      <c r="C204" s="26" t="s">
        <v>200</v>
      </c>
      <c r="D204" s="26" t="s">
        <v>201</v>
      </c>
      <c r="E204" s="27" t="s">
        <v>106</v>
      </c>
      <c r="F204" s="26" t="s">
        <v>196</v>
      </c>
      <c r="G204" s="25" t="s">
        <v>848</v>
      </c>
      <c r="H204" s="25" t="s">
        <v>272</v>
      </c>
    </row>
    <row r="205" ht="22.5" hidden="1" customHeight="1">
      <c r="A205" s="25" t="s">
        <v>849</v>
      </c>
      <c r="B205" s="26">
        <v>5.583986828382E12</v>
      </c>
      <c r="C205" s="26" t="s">
        <v>200</v>
      </c>
      <c r="D205" s="26" t="s">
        <v>201</v>
      </c>
      <c r="E205" s="27" t="s">
        <v>850</v>
      </c>
      <c r="F205" s="26" t="s">
        <v>151</v>
      </c>
      <c r="G205" s="25" t="s">
        <v>851</v>
      </c>
      <c r="H205" s="25" t="s">
        <v>852</v>
      </c>
    </row>
    <row r="206" ht="22.5" hidden="1" customHeight="1">
      <c r="A206" s="25" t="s">
        <v>853</v>
      </c>
      <c r="B206" s="26">
        <v>5.58332218546E11</v>
      </c>
      <c r="C206" s="26" t="s">
        <v>200</v>
      </c>
      <c r="D206" s="26" t="s">
        <v>201</v>
      </c>
      <c r="E206" s="27" t="s">
        <v>106</v>
      </c>
      <c r="F206" s="26" t="s">
        <v>151</v>
      </c>
      <c r="G206" s="25" t="s">
        <v>854</v>
      </c>
      <c r="H206" s="25" t="s">
        <v>349</v>
      </c>
    </row>
    <row r="207" ht="22.5" hidden="1" customHeight="1">
      <c r="A207" s="25" t="s">
        <v>855</v>
      </c>
      <c r="B207" s="26">
        <v>5.5793085526E11</v>
      </c>
      <c r="C207" s="26" t="s">
        <v>242</v>
      </c>
      <c r="D207" s="26" t="s">
        <v>243</v>
      </c>
      <c r="E207" s="27" t="s">
        <v>5</v>
      </c>
      <c r="F207" s="26" t="s">
        <v>151</v>
      </c>
      <c r="G207" s="25" t="s">
        <v>856</v>
      </c>
      <c r="H207" s="25" t="s">
        <v>857</v>
      </c>
    </row>
    <row r="208" ht="22.5" hidden="1" customHeight="1">
      <c r="A208" s="25" t="s">
        <v>858</v>
      </c>
      <c r="B208" s="26">
        <v>5.579998509754E12</v>
      </c>
      <c r="C208" s="26" t="s">
        <v>242</v>
      </c>
      <c r="D208" s="26" t="s">
        <v>243</v>
      </c>
      <c r="E208" s="27" t="s">
        <v>72</v>
      </c>
      <c r="F208" s="26" t="s">
        <v>182</v>
      </c>
      <c r="G208" s="25" t="s">
        <v>859</v>
      </c>
      <c r="H208" s="25" t="s">
        <v>860</v>
      </c>
    </row>
    <row r="209" ht="22.5" hidden="1" customHeight="1">
      <c r="A209" s="25" t="s">
        <v>861</v>
      </c>
      <c r="B209" s="26">
        <v>5.579996634625E12</v>
      </c>
      <c r="C209" s="26" t="s">
        <v>242</v>
      </c>
      <c r="D209" s="26" t="s">
        <v>243</v>
      </c>
      <c r="E209" s="27" t="s">
        <v>5</v>
      </c>
      <c r="F209" s="26" t="s">
        <v>151</v>
      </c>
      <c r="G209" s="25" t="s">
        <v>862</v>
      </c>
      <c r="H209" s="25" t="s">
        <v>863</v>
      </c>
    </row>
    <row r="210" ht="22.5" hidden="1" customHeight="1">
      <c r="A210" s="28" t="s">
        <v>864</v>
      </c>
      <c r="B210" s="26">
        <v>5.57932487185E11</v>
      </c>
      <c r="C210" s="26" t="s">
        <v>242</v>
      </c>
      <c r="D210" s="26" t="s">
        <v>243</v>
      </c>
      <c r="E210" s="27" t="s">
        <v>72</v>
      </c>
      <c r="F210" s="26" t="s">
        <v>151</v>
      </c>
      <c r="G210" s="25" t="s">
        <v>865</v>
      </c>
      <c r="H210" s="25" t="s">
        <v>866</v>
      </c>
    </row>
    <row r="211" ht="22.5" hidden="1" customHeight="1">
      <c r="A211" s="25" t="s">
        <v>867</v>
      </c>
      <c r="B211" s="26">
        <v>5.57932597468E11</v>
      </c>
      <c r="C211" s="26" t="s">
        <v>242</v>
      </c>
      <c r="D211" s="26" t="s">
        <v>243</v>
      </c>
      <c r="E211" s="27" t="s">
        <v>72</v>
      </c>
      <c r="F211" s="26" t="s">
        <v>151</v>
      </c>
      <c r="G211" s="25" t="s">
        <v>868</v>
      </c>
      <c r="H211" s="25" t="s">
        <v>251</v>
      </c>
    </row>
    <row r="212" ht="22.5" hidden="1" customHeight="1">
      <c r="A212" s="25" t="s">
        <v>869</v>
      </c>
      <c r="B212" s="26">
        <v>5.59632234968E11</v>
      </c>
      <c r="C212" s="26" t="s">
        <v>701</v>
      </c>
      <c r="D212" s="26" t="s">
        <v>870</v>
      </c>
      <c r="E212" s="27" t="s">
        <v>108</v>
      </c>
      <c r="F212" s="26" t="s">
        <v>871</v>
      </c>
      <c r="G212" s="25" t="s">
        <v>872</v>
      </c>
      <c r="H212" s="25" t="s">
        <v>873</v>
      </c>
    </row>
    <row r="213" ht="22.5" hidden="1" customHeight="1">
      <c r="A213" s="25" t="s">
        <v>874</v>
      </c>
      <c r="B213" s="26">
        <v>5.596991147809E12</v>
      </c>
      <c r="C213" s="26" t="s">
        <v>701</v>
      </c>
      <c r="D213" s="26" t="s">
        <v>870</v>
      </c>
      <c r="E213" s="27" t="s">
        <v>102</v>
      </c>
      <c r="F213" s="26" t="s">
        <v>182</v>
      </c>
      <c r="G213" s="25" t="s">
        <v>875</v>
      </c>
      <c r="H213" s="25" t="s">
        <v>876</v>
      </c>
    </row>
    <row r="214" ht="22.5" hidden="1" customHeight="1">
      <c r="A214" s="25" t="s">
        <v>877</v>
      </c>
      <c r="B214" s="26">
        <v>5.58699804311E12</v>
      </c>
      <c r="C214" s="26" t="s">
        <v>742</v>
      </c>
      <c r="D214" s="26" t="s">
        <v>743</v>
      </c>
      <c r="E214" s="27" t="s">
        <v>5</v>
      </c>
      <c r="F214" s="26" t="s">
        <v>151</v>
      </c>
      <c r="G214" s="25" t="s">
        <v>878</v>
      </c>
      <c r="H214" s="25" t="s">
        <v>879</v>
      </c>
    </row>
    <row r="215" ht="22.5" hidden="1" customHeight="1">
      <c r="A215" s="28" t="s">
        <v>880</v>
      </c>
      <c r="B215" s="26">
        <v>5.586988030596E12</v>
      </c>
      <c r="C215" s="26" t="s">
        <v>742</v>
      </c>
      <c r="D215" s="26" t="s">
        <v>743</v>
      </c>
      <c r="E215" s="27" t="s">
        <v>110</v>
      </c>
      <c r="F215" s="26" t="s">
        <v>196</v>
      </c>
      <c r="G215" s="25" t="s">
        <v>881</v>
      </c>
      <c r="H215" s="25" t="s">
        <v>882</v>
      </c>
    </row>
    <row r="216" ht="22.5" hidden="1" customHeight="1">
      <c r="A216" s="25" t="s">
        <v>883</v>
      </c>
      <c r="B216" s="26">
        <v>5.586999255777E12</v>
      </c>
      <c r="C216" s="26" t="s">
        <v>742</v>
      </c>
      <c r="D216" s="26" t="s">
        <v>884</v>
      </c>
      <c r="E216" s="27" t="s">
        <v>108</v>
      </c>
      <c r="F216" s="26" t="s">
        <v>151</v>
      </c>
      <c r="G216" s="25" t="s">
        <v>885</v>
      </c>
      <c r="H216" s="25" t="s">
        <v>886</v>
      </c>
    </row>
    <row r="217" ht="22.5" hidden="1" customHeight="1">
      <c r="A217" s="28" t="s">
        <v>887</v>
      </c>
      <c r="B217" s="26">
        <v>5.58633056825E11</v>
      </c>
      <c r="C217" s="26" t="s">
        <v>742</v>
      </c>
      <c r="D217" s="26" t="s">
        <v>743</v>
      </c>
      <c r="E217" s="27" t="s">
        <v>888</v>
      </c>
      <c r="F217" s="26" t="s">
        <v>151</v>
      </c>
      <c r="G217" s="25" t="s">
        <v>889</v>
      </c>
      <c r="H217" s="25" t="s">
        <v>890</v>
      </c>
    </row>
    <row r="218" ht="22.5" hidden="1" customHeight="1">
      <c r="A218" s="28" t="s">
        <v>891</v>
      </c>
      <c r="B218" s="26">
        <v>5.595991775597E12</v>
      </c>
      <c r="C218" s="26" t="s">
        <v>892</v>
      </c>
      <c r="D218" s="26" t="s">
        <v>893</v>
      </c>
      <c r="E218" s="27" t="s">
        <v>106</v>
      </c>
      <c r="F218" s="26" t="s">
        <v>151</v>
      </c>
      <c r="G218" s="25" t="s">
        <v>894</v>
      </c>
      <c r="H218" s="25" t="s">
        <v>895</v>
      </c>
    </row>
    <row r="219" ht="22.5" hidden="1" customHeight="1">
      <c r="A219" s="25" t="s">
        <v>896</v>
      </c>
      <c r="B219" s="26">
        <v>5.56932234724E11</v>
      </c>
      <c r="C219" s="26" t="s">
        <v>765</v>
      </c>
      <c r="D219" s="26" t="s">
        <v>897</v>
      </c>
      <c r="E219" s="27" t="s">
        <v>108</v>
      </c>
      <c r="F219" s="26" t="s">
        <v>898</v>
      </c>
      <c r="G219" s="25" t="s">
        <v>899</v>
      </c>
      <c r="H219" s="25" t="s">
        <v>900</v>
      </c>
    </row>
    <row r="220" ht="22.5" hidden="1" customHeight="1">
      <c r="A220" s="25" t="s">
        <v>901</v>
      </c>
      <c r="B220" s="26">
        <v>5.563999160101E12</v>
      </c>
      <c r="C220" s="26" t="s">
        <v>751</v>
      </c>
      <c r="D220" s="26" t="s">
        <v>752</v>
      </c>
      <c r="E220" s="27" t="s">
        <v>72</v>
      </c>
      <c r="F220" s="26" t="s">
        <v>151</v>
      </c>
      <c r="G220" s="25" t="s">
        <v>902</v>
      </c>
      <c r="H220" s="25" t="s">
        <v>903</v>
      </c>
    </row>
    <row r="221" ht="22.5" hidden="1" customHeight="1">
      <c r="A221" s="25" t="s">
        <v>904</v>
      </c>
      <c r="B221" s="26">
        <v>5.56332252617E11</v>
      </c>
      <c r="C221" s="26" t="s">
        <v>751</v>
      </c>
      <c r="D221" s="26" t="s">
        <v>752</v>
      </c>
      <c r="E221" s="27" t="s">
        <v>123</v>
      </c>
      <c r="F221" s="26" t="s">
        <v>151</v>
      </c>
      <c r="G221" s="25" t="s">
        <v>905</v>
      </c>
      <c r="H221" s="25" t="s">
        <v>873</v>
      </c>
    </row>
    <row r="222" ht="22.5" hidden="1" customHeight="1">
      <c r="A222" s="25" t="s">
        <v>906</v>
      </c>
      <c r="B222" s="26">
        <v>5.58135213505E11</v>
      </c>
      <c r="C222" s="26" t="s">
        <v>170</v>
      </c>
      <c r="D222" s="26" t="s">
        <v>907</v>
      </c>
      <c r="E222" s="27" t="s">
        <v>57</v>
      </c>
      <c r="F222" s="26" t="s">
        <v>151</v>
      </c>
      <c r="G222" s="25" t="s">
        <v>908</v>
      </c>
      <c r="H222" s="25" t="s">
        <v>909</v>
      </c>
    </row>
    <row r="223" ht="22.5" hidden="1" customHeight="1">
      <c r="A223" s="25" t="s">
        <v>910</v>
      </c>
      <c r="B223" s="26">
        <v>5.573991049565E12</v>
      </c>
      <c r="C223" s="26" t="s">
        <v>180</v>
      </c>
      <c r="D223" s="26" t="s">
        <v>911</v>
      </c>
      <c r="E223" s="27" t="s">
        <v>108</v>
      </c>
      <c r="F223" s="26" t="s">
        <v>196</v>
      </c>
      <c r="G223" s="25" t="s">
        <v>912</v>
      </c>
      <c r="H223" s="25" t="s">
        <v>295</v>
      </c>
    </row>
    <row r="224" ht="22.5" hidden="1" customHeight="1">
      <c r="A224" s="25" t="s">
        <v>913</v>
      </c>
      <c r="B224" s="26">
        <v>5.57336682289E11</v>
      </c>
      <c r="C224" s="26" t="s">
        <v>180</v>
      </c>
      <c r="D224" s="26" t="s">
        <v>290</v>
      </c>
      <c r="E224" s="27" t="s">
        <v>72</v>
      </c>
      <c r="F224" s="26" t="s">
        <v>151</v>
      </c>
      <c r="G224" s="25" t="s">
        <v>914</v>
      </c>
      <c r="H224" s="25" t="s">
        <v>574</v>
      </c>
    </row>
    <row r="225" ht="22.5" hidden="1" customHeight="1">
      <c r="A225" s="25" t="s">
        <v>915</v>
      </c>
      <c r="B225" s="26">
        <v>5.51120113013E11</v>
      </c>
      <c r="C225" s="26" t="s">
        <v>155</v>
      </c>
      <c r="D225" s="26" t="s">
        <v>156</v>
      </c>
      <c r="E225" s="27" t="s">
        <v>121</v>
      </c>
      <c r="F225" s="26" t="s">
        <v>151</v>
      </c>
      <c r="G225" s="25" t="s">
        <v>916</v>
      </c>
      <c r="H225" s="25" t="s">
        <v>917</v>
      </c>
    </row>
    <row r="226" ht="22.5" hidden="1" customHeight="1">
      <c r="A226" s="25" t="s">
        <v>918</v>
      </c>
      <c r="B226" s="26">
        <v>5.527999060778E12</v>
      </c>
      <c r="C226" s="26" t="s">
        <v>212</v>
      </c>
      <c r="D226" s="26" t="s">
        <v>919</v>
      </c>
      <c r="E226" s="27" t="s">
        <v>123</v>
      </c>
      <c r="F226" s="26" t="s">
        <v>196</v>
      </c>
      <c r="G226" s="25" t="s">
        <v>920</v>
      </c>
      <c r="H226" s="25" t="s">
        <v>921</v>
      </c>
    </row>
    <row r="227" ht="22.5" hidden="1" customHeight="1">
      <c r="A227" s="25" t="s">
        <v>922</v>
      </c>
      <c r="B227" s="26">
        <v>6.235732036E9</v>
      </c>
      <c r="C227" s="26" t="s">
        <v>230</v>
      </c>
      <c r="D227" s="26" t="s">
        <v>923</v>
      </c>
      <c r="E227" s="27" t="s">
        <v>62</v>
      </c>
      <c r="F227" s="26" t="s">
        <v>871</v>
      </c>
      <c r="G227" s="25" t="s">
        <v>924</v>
      </c>
      <c r="H227" s="25" t="s">
        <v>925</v>
      </c>
    </row>
    <row r="228" ht="22.5" hidden="1" customHeight="1">
      <c r="A228" s="25" t="s">
        <v>926</v>
      </c>
      <c r="B228" s="26">
        <v>6.299973834E10</v>
      </c>
      <c r="C228" s="26" t="s">
        <v>230</v>
      </c>
      <c r="D228" s="26" t="s">
        <v>923</v>
      </c>
      <c r="E228" s="27" t="s">
        <v>106</v>
      </c>
      <c r="F228" s="26" t="s">
        <v>196</v>
      </c>
      <c r="G228" s="25" t="s">
        <v>927</v>
      </c>
      <c r="H228" s="25" t="s">
        <v>272</v>
      </c>
    </row>
    <row r="229" ht="22.5" hidden="1" customHeight="1">
      <c r="A229" s="28" t="s">
        <v>928</v>
      </c>
      <c r="B229" s="26">
        <v>5.502730341403E12</v>
      </c>
      <c r="C229" s="26" t="s">
        <v>212</v>
      </c>
      <c r="D229" s="26" t="s">
        <v>929</v>
      </c>
      <c r="E229" s="27" t="s">
        <v>106</v>
      </c>
      <c r="F229" s="26" t="s">
        <v>196</v>
      </c>
      <c r="G229" s="25" t="s">
        <v>930</v>
      </c>
      <c r="H229" s="25" t="s">
        <v>643</v>
      </c>
    </row>
    <row r="230" ht="22.5" hidden="1" customHeight="1">
      <c r="A230" s="25" t="s">
        <v>931</v>
      </c>
      <c r="B230" s="26">
        <v>5.5222623334E11</v>
      </c>
      <c r="C230" s="31" t="s">
        <v>149</v>
      </c>
      <c r="D230" s="31" t="s">
        <v>150</v>
      </c>
      <c r="E230" s="32" t="s">
        <v>72</v>
      </c>
      <c r="F230" s="31" t="s">
        <v>151</v>
      </c>
      <c r="G230" s="33" t="s">
        <v>932</v>
      </c>
      <c r="H230" s="43" t="s">
        <v>933</v>
      </c>
    </row>
    <row r="231" ht="22.5" hidden="1" customHeight="1">
      <c r="A231" s="25" t="s">
        <v>934</v>
      </c>
      <c r="B231" s="26">
        <v>5.52226445314E11</v>
      </c>
      <c r="C231" s="26" t="s">
        <v>149</v>
      </c>
      <c r="D231" s="26" t="s">
        <v>779</v>
      </c>
      <c r="E231" s="27" t="s">
        <v>354</v>
      </c>
      <c r="F231" s="54" t="s">
        <v>151</v>
      </c>
      <c r="G231" s="55" t="s">
        <v>935</v>
      </c>
      <c r="H231" s="25" t="s">
        <v>921</v>
      </c>
    </row>
    <row r="232" ht="22.5" hidden="1" customHeight="1">
      <c r="A232" s="25" t="s">
        <v>936</v>
      </c>
      <c r="B232" s="26">
        <v>5.522974027399E12</v>
      </c>
      <c r="C232" s="26" t="s">
        <v>149</v>
      </c>
      <c r="D232" s="26" t="s">
        <v>779</v>
      </c>
      <c r="E232" s="27" t="s">
        <v>106</v>
      </c>
      <c r="F232" s="54" t="s">
        <v>151</v>
      </c>
      <c r="G232" s="55" t="s">
        <v>937</v>
      </c>
      <c r="H232" s="25" t="s">
        <v>300</v>
      </c>
    </row>
    <row r="233" ht="22.5" hidden="1" customHeight="1">
      <c r="A233" s="25" t="s">
        <v>938</v>
      </c>
      <c r="B233" s="26">
        <v>5.522988390843E12</v>
      </c>
      <c r="C233" s="26" t="s">
        <v>149</v>
      </c>
      <c r="D233" s="26" t="s">
        <v>779</v>
      </c>
      <c r="E233" s="27" t="s">
        <v>106</v>
      </c>
      <c r="F233" s="26" t="s">
        <v>151</v>
      </c>
      <c r="G233" s="25" t="s">
        <v>939</v>
      </c>
      <c r="H233" s="25" t="s">
        <v>940</v>
      </c>
    </row>
    <row r="234" ht="22.5" hidden="1" customHeight="1">
      <c r="A234" s="25" t="s">
        <v>941</v>
      </c>
      <c r="B234" s="26">
        <v>5.51138419057E11</v>
      </c>
      <c r="C234" s="26" t="s">
        <v>155</v>
      </c>
      <c r="D234" s="26" t="s">
        <v>156</v>
      </c>
      <c r="E234" s="27" t="s">
        <v>942</v>
      </c>
      <c r="F234" s="26" t="s">
        <v>151</v>
      </c>
      <c r="G234" s="25" t="s">
        <v>943</v>
      </c>
      <c r="H234" s="25" t="s">
        <v>944</v>
      </c>
    </row>
    <row r="235" ht="22.5" hidden="1" customHeight="1">
      <c r="A235" s="28" t="s">
        <v>945</v>
      </c>
      <c r="B235" s="26">
        <v>5.511998331969E12</v>
      </c>
      <c r="C235" s="26" t="s">
        <v>155</v>
      </c>
      <c r="D235" s="26" t="s">
        <v>156</v>
      </c>
      <c r="E235" s="27" t="s">
        <v>44</v>
      </c>
      <c r="F235" s="26" t="s">
        <v>196</v>
      </c>
      <c r="G235" s="25" t="s">
        <v>946</v>
      </c>
      <c r="H235" s="25" t="s">
        <v>947</v>
      </c>
    </row>
    <row r="236" ht="22.5" hidden="1" customHeight="1">
      <c r="A236" s="25" t="s">
        <v>948</v>
      </c>
      <c r="B236" s="26">
        <v>5.51127298082E11</v>
      </c>
      <c r="C236" s="26" t="s">
        <v>155</v>
      </c>
      <c r="D236" s="26" t="s">
        <v>156</v>
      </c>
      <c r="E236" s="27" t="s">
        <v>949</v>
      </c>
      <c r="F236" s="26" t="s">
        <v>151</v>
      </c>
      <c r="G236" s="25" t="s">
        <v>950</v>
      </c>
      <c r="H236" s="25" t="s">
        <v>951</v>
      </c>
    </row>
    <row r="237" ht="22.5" hidden="1" customHeight="1">
      <c r="A237" s="28" t="s">
        <v>952</v>
      </c>
      <c r="B237" s="26">
        <v>5.54132612842E11</v>
      </c>
      <c r="C237" s="52" t="s">
        <v>194</v>
      </c>
      <c r="D237" s="26" t="s">
        <v>195</v>
      </c>
      <c r="E237" s="27" t="s">
        <v>274</v>
      </c>
      <c r="F237" s="26" t="s">
        <v>151</v>
      </c>
      <c r="G237" s="25" t="s">
        <v>953</v>
      </c>
      <c r="H237" s="25" t="s">
        <v>954</v>
      </c>
    </row>
    <row r="238" ht="22.5" hidden="1" customHeight="1">
      <c r="A238" s="25" t="s">
        <v>955</v>
      </c>
      <c r="B238" s="56">
        <v>6.237063751E9</v>
      </c>
      <c r="C238" s="26" t="s">
        <v>230</v>
      </c>
      <c r="D238" s="26" t="s">
        <v>956</v>
      </c>
      <c r="E238" s="27" t="s">
        <v>108</v>
      </c>
      <c r="F238" s="26" t="s">
        <v>151</v>
      </c>
      <c r="G238" s="25" t="s">
        <v>957</v>
      </c>
      <c r="H238" s="25" t="s">
        <v>958</v>
      </c>
    </row>
    <row r="239" ht="22.5" hidden="1" customHeight="1">
      <c r="A239" s="25" t="s">
        <v>959</v>
      </c>
      <c r="B239" s="26">
        <v>6.233191427E9</v>
      </c>
      <c r="C239" s="26" t="s">
        <v>230</v>
      </c>
      <c r="D239" s="26" t="s">
        <v>956</v>
      </c>
      <c r="E239" s="27" t="s">
        <v>108</v>
      </c>
      <c r="F239" s="26" t="s">
        <v>151</v>
      </c>
      <c r="G239" s="25" t="s">
        <v>960</v>
      </c>
      <c r="H239" s="25" t="s">
        <v>961</v>
      </c>
    </row>
    <row r="240" ht="22.5" hidden="1" customHeight="1">
      <c r="A240" s="57"/>
      <c r="B240" s="58"/>
      <c r="C240" s="58"/>
      <c r="D240" s="58"/>
      <c r="E240" s="59"/>
      <c r="F240" s="58"/>
      <c r="G240" s="43"/>
      <c r="H240" s="60"/>
    </row>
    <row r="241" ht="22.5" customHeight="1">
      <c r="A241" s="28" t="s">
        <v>962</v>
      </c>
      <c r="B241" s="61">
        <v>5.56130422222E11</v>
      </c>
      <c r="C241" s="52" t="s">
        <v>963</v>
      </c>
      <c r="D241" s="52" t="s">
        <v>837</v>
      </c>
      <c r="E241" s="53" t="s">
        <v>106</v>
      </c>
      <c r="F241" s="52" t="s">
        <v>964</v>
      </c>
      <c r="G241" s="62" t="s">
        <v>965</v>
      </c>
      <c r="H241" s="43" t="s">
        <v>966</v>
      </c>
    </row>
    <row r="242" ht="22.5" customHeight="1">
      <c r="A242" s="63"/>
      <c r="B242" s="63"/>
      <c r="C242" s="63"/>
      <c r="D242" s="63"/>
      <c r="E242" s="64"/>
      <c r="F242" s="63"/>
      <c r="G242" s="60"/>
      <c r="H242" s="60"/>
    </row>
    <row r="243" ht="22.5" customHeight="1">
      <c r="A243" s="63"/>
      <c r="B243" s="63"/>
      <c r="C243" s="63"/>
      <c r="D243" s="63"/>
      <c r="E243" s="64"/>
      <c r="F243" s="63"/>
      <c r="G243" s="60"/>
      <c r="H243" s="60"/>
    </row>
    <row r="244" ht="22.5" customHeight="1">
      <c r="A244" s="63"/>
      <c r="B244" s="63"/>
      <c r="C244" s="63"/>
      <c r="D244" s="63"/>
      <c r="E244" s="64"/>
      <c r="F244" s="63"/>
      <c r="G244" s="60"/>
      <c r="H244" s="60"/>
    </row>
    <row r="245" ht="22.5" customHeight="1">
      <c r="A245" s="63"/>
      <c r="B245" s="63"/>
      <c r="C245" s="63"/>
      <c r="D245" s="63"/>
      <c r="E245" s="64"/>
      <c r="F245" s="63"/>
      <c r="G245" s="60"/>
      <c r="H245" s="60"/>
    </row>
    <row r="246" ht="22.5" customHeight="1">
      <c r="A246" s="63"/>
      <c r="B246" s="63"/>
      <c r="C246" s="63"/>
      <c r="D246" s="63"/>
      <c r="E246" s="64"/>
      <c r="F246" s="63"/>
      <c r="G246" s="60"/>
      <c r="H246" s="60"/>
    </row>
    <row r="247" ht="22.5" customHeight="1">
      <c r="A247" s="63"/>
      <c r="B247" s="63"/>
      <c r="C247" s="63"/>
      <c r="D247" s="63"/>
      <c r="E247" s="64"/>
      <c r="F247" s="63"/>
      <c r="G247" s="60"/>
      <c r="H247" s="60"/>
    </row>
    <row r="248" ht="22.5" customHeight="1">
      <c r="A248" s="63"/>
      <c r="B248" s="63"/>
      <c r="C248" s="63"/>
      <c r="D248" s="63"/>
      <c r="E248" s="64"/>
      <c r="F248" s="63"/>
      <c r="G248" s="60"/>
      <c r="H248" s="60"/>
    </row>
    <row r="249" ht="22.5" customHeight="1">
      <c r="A249" s="63"/>
      <c r="B249" s="63"/>
      <c r="C249" s="63"/>
      <c r="D249" s="63"/>
      <c r="E249" s="64"/>
      <c r="F249" s="63"/>
      <c r="G249" s="60"/>
      <c r="H249" s="60"/>
    </row>
    <row r="250" ht="22.5" customHeight="1">
      <c r="A250" s="63"/>
      <c r="B250" s="63"/>
      <c r="C250" s="63"/>
      <c r="D250" s="63"/>
      <c r="E250" s="64"/>
      <c r="F250" s="63"/>
      <c r="G250" s="60"/>
      <c r="H250" s="60"/>
    </row>
    <row r="251" ht="22.5" customHeight="1">
      <c r="A251" s="63"/>
      <c r="B251" s="63"/>
      <c r="C251" s="63"/>
      <c r="D251" s="63"/>
      <c r="E251" s="64"/>
      <c r="F251" s="63"/>
      <c r="G251" s="60"/>
      <c r="H251" s="60"/>
    </row>
    <row r="252" ht="22.5" customHeight="1">
      <c r="A252" s="63"/>
      <c r="B252" s="63"/>
      <c r="C252" s="63"/>
      <c r="D252" s="63"/>
      <c r="E252" s="64"/>
      <c r="F252" s="63"/>
      <c r="G252" s="60"/>
      <c r="H252" s="60"/>
    </row>
    <row r="253" ht="22.5" customHeight="1">
      <c r="A253" s="63"/>
      <c r="B253" s="63"/>
      <c r="C253" s="63"/>
      <c r="D253" s="63"/>
      <c r="E253" s="64"/>
      <c r="F253" s="63"/>
      <c r="G253" s="60"/>
      <c r="H253" s="60"/>
    </row>
    <row r="254" ht="22.5" customHeight="1">
      <c r="A254" s="63"/>
      <c r="B254" s="63"/>
      <c r="C254" s="63"/>
      <c r="D254" s="63"/>
      <c r="E254" s="64"/>
      <c r="F254" s="63"/>
      <c r="G254" s="60"/>
      <c r="H254" s="60"/>
    </row>
    <row r="255" ht="22.5" customHeight="1">
      <c r="A255" s="63"/>
      <c r="B255" s="63"/>
      <c r="C255" s="63"/>
      <c r="D255" s="63"/>
      <c r="E255" s="64"/>
      <c r="F255" s="63"/>
      <c r="G255" s="60"/>
      <c r="H255" s="60"/>
    </row>
    <row r="256" ht="22.5" customHeight="1">
      <c r="A256" s="63"/>
      <c r="B256" s="63"/>
      <c r="C256" s="63"/>
      <c r="D256" s="63"/>
      <c r="E256" s="64"/>
      <c r="F256" s="63"/>
      <c r="G256" s="60"/>
      <c r="H256" s="60"/>
    </row>
    <row r="257" ht="22.5" customHeight="1">
      <c r="A257" s="63"/>
      <c r="B257" s="63"/>
      <c r="C257" s="63"/>
      <c r="D257" s="63"/>
      <c r="E257" s="64"/>
      <c r="F257" s="63"/>
      <c r="G257" s="60"/>
      <c r="H257" s="60"/>
    </row>
    <row r="258" ht="22.5" customHeight="1">
      <c r="A258" s="63"/>
      <c r="B258" s="63"/>
      <c r="C258" s="63"/>
      <c r="D258" s="63"/>
      <c r="E258" s="64"/>
      <c r="F258" s="63"/>
      <c r="G258" s="60"/>
      <c r="H258" s="60"/>
    </row>
    <row r="259" ht="22.5" customHeight="1">
      <c r="A259" s="63"/>
      <c r="B259" s="63"/>
      <c r="C259" s="63"/>
      <c r="D259" s="63"/>
      <c r="E259" s="64"/>
      <c r="F259" s="63"/>
      <c r="G259" s="60"/>
      <c r="H259" s="60"/>
    </row>
    <row r="260" ht="22.5" customHeight="1">
      <c r="A260" s="63"/>
      <c r="B260" s="63"/>
      <c r="C260" s="63"/>
      <c r="D260" s="63"/>
      <c r="E260" s="64"/>
      <c r="F260" s="63"/>
      <c r="G260" s="60"/>
      <c r="H260" s="60"/>
    </row>
    <row r="261" ht="22.5" customHeight="1">
      <c r="A261" s="63"/>
      <c r="B261" s="63"/>
      <c r="C261" s="63"/>
      <c r="D261" s="63"/>
      <c r="E261" s="64"/>
      <c r="F261" s="63"/>
      <c r="G261" s="60"/>
      <c r="H261" s="60"/>
    </row>
    <row r="262" ht="22.5" customHeight="1">
      <c r="A262" s="63"/>
      <c r="B262" s="63"/>
      <c r="C262" s="63"/>
      <c r="D262" s="63"/>
      <c r="E262" s="64"/>
      <c r="F262" s="63"/>
      <c r="G262" s="60"/>
      <c r="H262" s="60"/>
    </row>
    <row r="263" ht="22.5" customHeight="1">
      <c r="A263" s="63"/>
      <c r="B263" s="63"/>
      <c r="C263" s="63"/>
      <c r="D263" s="63"/>
      <c r="E263" s="64"/>
      <c r="F263" s="63"/>
      <c r="G263" s="60"/>
      <c r="H263" s="60"/>
    </row>
    <row r="264" ht="22.5" customHeight="1">
      <c r="A264" s="63"/>
      <c r="B264" s="63"/>
      <c r="C264" s="63"/>
      <c r="D264" s="63"/>
      <c r="E264" s="64"/>
      <c r="F264" s="63"/>
      <c r="G264" s="60"/>
      <c r="H264" s="60"/>
    </row>
    <row r="265" ht="22.5" customHeight="1">
      <c r="A265" s="63"/>
      <c r="B265" s="63"/>
      <c r="C265" s="63"/>
      <c r="D265" s="63"/>
      <c r="E265" s="64"/>
      <c r="F265" s="63"/>
      <c r="G265" s="60"/>
      <c r="H265" s="60"/>
    </row>
    <row r="266" ht="22.5" customHeight="1">
      <c r="A266" s="63"/>
      <c r="B266" s="63"/>
      <c r="C266" s="63"/>
      <c r="D266" s="63"/>
      <c r="E266" s="64"/>
      <c r="F266" s="63"/>
      <c r="G266" s="60"/>
      <c r="H266" s="60"/>
    </row>
    <row r="267" ht="22.5" customHeight="1">
      <c r="A267" s="63"/>
      <c r="B267" s="63"/>
      <c r="C267" s="63"/>
      <c r="D267" s="63"/>
      <c r="E267" s="64"/>
      <c r="F267" s="63"/>
      <c r="G267" s="60"/>
      <c r="H267" s="60"/>
    </row>
    <row r="268" ht="22.5" customHeight="1">
      <c r="A268" s="63"/>
      <c r="B268" s="63"/>
      <c r="C268" s="63"/>
      <c r="D268" s="63"/>
      <c r="E268" s="64"/>
      <c r="F268" s="63"/>
      <c r="G268" s="60"/>
      <c r="H268" s="60"/>
    </row>
    <row r="269" ht="22.5" customHeight="1">
      <c r="A269" s="63"/>
      <c r="B269" s="63"/>
      <c r="C269" s="63"/>
      <c r="D269" s="63"/>
      <c r="E269" s="64"/>
      <c r="F269" s="63"/>
      <c r="G269" s="60"/>
      <c r="H269" s="60"/>
    </row>
    <row r="270" ht="22.5" customHeight="1">
      <c r="A270" s="63"/>
      <c r="B270" s="63"/>
      <c r="C270" s="63"/>
      <c r="D270" s="63"/>
      <c r="E270" s="64"/>
      <c r="F270" s="63"/>
      <c r="G270" s="60"/>
      <c r="H270" s="60"/>
    </row>
    <row r="271" ht="22.5" customHeight="1">
      <c r="A271" s="63"/>
      <c r="B271" s="63"/>
      <c r="C271" s="63"/>
      <c r="D271" s="63"/>
      <c r="E271" s="64"/>
      <c r="F271" s="63"/>
      <c r="G271" s="60"/>
      <c r="H271" s="60"/>
    </row>
    <row r="272" ht="15.75" customHeight="1">
      <c r="A272" s="63"/>
      <c r="B272" s="63"/>
      <c r="C272" s="63"/>
      <c r="D272" s="63"/>
      <c r="E272" s="64"/>
      <c r="F272" s="63"/>
      <c r="G272" s="60"/>
      <c r="H272" s="60"/>
    </row>
    <row r="273" ht="15.75" customHeight="1">
      <c r="A273" s="65"/>
      <c r="B273" s="65"/>
      <c r="C273" s="65"/>
      <c r="D273" s="65"/>
      <c r="E273" s="66"/>
      <c r="F273" s="65"/>
      <c r="G273" s="67"/>
      <c r="H273" s="67"/>
    </row>
    <row r="274" ht="15.75" customHeight="1">
      <c r="A274" s="65"/>
      <c r="B274" s="65"/>
      <c r="C274" s="65"/>
      <c r="D274" s="65"/>
      <c r="E274" s="66"/>
      <c r="F274" s="65"/>
      <c r="G274" s="67"/>
      <c r="H274" s="67"/>
    </row>
    <row r="275" ht="15.75" customHeight="1">
      <c r="A275" s="65"/>
      <c r="B275" s="65"/>
      <c r="C275" s="65"/>
      <c r="D275" s="65"/>
      <c r="E275" s="66"/>
      <c r="F275" s="65"/>
      <c r="G275" s="67"/>
      <c r="H275" s="67"/>
    </row>
    <row r="276" ht="15.75" customHeight="1">
      <c r="A276" s="65"/>
      <c r="B276" s="65"/>
      <c r="C276" s="65"/>
      <c r="D276" s="65"/>
      <c r="E276" s="66"/>
      <c r="F276" s="65"/>
      <c r="G276" s="67"/>
      <c r="H276" s="67"/>
    </row>
    <row r="277" ht="15.75" customHeight="1">
      <c r="A277" s="65"/>
      <c r="B277" s="65"/>
      <c r="C277" s="65"/>
      <c r="D277" s="65"/>
      <c r="E277" s="66"/>
      <c r="F277" s="65"/>
      <c r="G277" s="67"/>
      <c r="H277" s="67"/>
    </row>
    <row r="278" ht="15.75" customHeight="1">
      <c r="A278" s="65"/>
      <c r="B278" s="65"/>
      <c r="C278" s="65"/>
      <c r="D278" s="65"/>
      <c r="E278" s="66"/>
      <c r="F278" s="65"/>
      <c r="G278" s="67"/>
      <c r="H278" s="67"/>
    </row>
    <row r="279" ht="15.75" customHeight="1">
      <c r="A279" s="65"/>
      <c r="B279" s="65"/>
      <c r="C279" s="65"/>
      <c r="D279" s="65"/>
      <c r="E279" s="66"/>
      <c r="F279" s="65"/>
      <c r="G279" s="67"/>
      <c r="H279" s="67"/>
    </row>
    <row r="280" ht="15.75" customHeight="1">
      <c r="A280" s="65"/>
      <c r="B280" s="65"/>
      <c r="C280" s="65"/>
      <c r="D280" s="65"/>
      <c r="E280" s="66"/>
      <c r="F280" s="65"/>
      <c r="G280" s="67"/>
      <c r="H280" s="67"/>
    </row>
    <row r="281" ht="15.75" customHeight="1">
      <c r="A281" s="65"/>
      <c r="B281" s="65"/>
      <c r="C281" s="65"/>
      <c r="D281" s="65"/>
      <c r="E281" s="66"/>
      <c r="F281" s="65"/>
      <c r="G281" s="67"/>
      <c r="H281" s="67"/>
    </row>
    <row r="282" ht="15.75" customHeight="1">
      <c r="A282" s="65"/>
      <c r="B282" s="65"/>
      <c r="C282" s="65"/>
      <c r="D282" s="65"/>
      <c r="E282" s="66"/>
      <c r="F282" s="65"/>
      <c r="G282" s="67"/>
      <c r="H282" s="67"/>
    </row>
    <row r="283" ht="15.75" customHeight="1">
      <c r="A283" s="65"/>
      <c r="B283" s="65"/>
      <c r="C283" s="65"/>
      <c r="D283" s="65"/>
      <c r="E283" s="66"/>
      <c r="F283" s="65"/>
      <c r="G283" s="67"/>
      <c r="H283" s="67"/>
    </row>
    <row r="284" ht="15.75" customHeight="1">
      <c r="A284" s="65"/>
      <c r="B284" s="65"/>
      <c r="C284" s="65"/>
      <c r="D284" s="65"/>
      <c r="E284" s="66"/>
      <c r="F284" s="65"/>
      <c r="G284" s="67"/>
      <c r="H284" s="67"/>
    </row>
    <row r="285" ht="15.75" customHeight="1">
      <c r="A285" s="65"/>
      <c r="B285" s="65"/>
      <c r="C285" s="65"/>
      <c r="D285" s="65"/>
      <c r="E285" s="66"/>
      <c r="F285" s="65"/>
      <c r="G285" s="67"/>
      <c r="H285" s="67"/>
    </row>
    <row r="286" ht="15.75" customHeight="1">
      <c r="A286" s="65"/>
      <c r="B286" s="65"/>
      <c r="C286" s="65"/>
      <c r="D286" s="65"/>
      <c r="E286" s="66"/>
      <c r="F286" s="65"/>
      <c r="G286" s="67"/>
      <c r="H286" s="67"/>
    </row>
    <row r="287" ht="15.75" customHeight="1">
      <c r="A287" s="65"/>
      <c r="B287" s="65"/>
      <c r="C287" s="65"/>
      <c r="D287" s="65"/>
      <c r="E287" s="66"/>
      <c r="F287" s="65"/>
      <c r="G287" s="67"/>
      <c r="H287" s="67"/>
    </row>
    <row r="288" ht="15.75" customHeight="1">
      <c r="A288" s="65"/>
      <c r="B288" s="65"/>
      <c r="C288" s="65"/>
      <c r="D288" s="65"/>
      <c r="E288" s="66"/>
      <c r="F288" s="65"/>
      <c r="G288" s="67"/>
      <c r="H288" s="67"/>
    </row>
    <row r="289" ht="15.75" customHeight="1">
      <c r="A289" s="65"/>
      <c r="B289" s="65"/>
      <c r="C289" s="65"/>
      <c r="D289" s="65"/>
      <c r="E289" s="66"/>
      <c r="F289" s="65"/>
      <c r="G289" s="67"/>
      <c r="H289" s="67"/>
    </row>
    <row r="290" ht="15.75" customHeight="1">
      <c r="A290" s="65"/>
      <c r="B290" s="65"/>
      <c r="C290" s="65"/>
      <c r="D290" s="65"/>
      <c r="E290" s="66"/>
      <c r="F290" s="65"/>
      <c r="G290" s="67"/>
      <c r="H290" s="67"/>
    </row>
    <row r="291" ht="15.75" customHeight="1">
      <c r="A291" s="65"/>
      <c r="B291" s="65"/>
      <c r="C291" s="65"/>
      <c r="D291" s="65"/>
      <c r="E291" s="66"/>
      <c r="F291" s="65"/>
      <c r="G291" s="67"/>
      <c r="H291" s="67"/>
    </row>
    <row r="292" ht="15.75" customHeight="1">
      <c r="A292" s="65"/>
      <c r="B292" s="65"/>
      <c r="C292" s="65"/>
      <c r="D292" s="65"/>
      <c r="E292" s="66"/>
      <c r="F292" s="65"/>
      <c r="G292" s="67"/>
      <c r="H292" s="67"/>
    </row>
    <row r="293" ht="15.75" customHeight="1">
      <c r="A293" s="65"/>
      <c r="B293" s="65"/>
      <c r="C293" s="65"/>
      <c r="D293" s="65"/>
      <c r="E293" s="66"/>
      <c r="F293" s="65"/>
      <c r="G293" s="67"/>
      <c r="H293" s="67"/>
    </row>
    <row r="294" ht="15.75" customHeight="1">
      <c r="A294" s="65"/>
      <c r="B294" s="65"/>
      <c r="C294" s="65"/>
      <c r="D294" s="65"/>
      <c r="E294" s="66"/>
      <c r="F294" s="65"/>
      <c r="G294" s="67"/>
      <c r="H294" s="67"/>
    </row>
    <row r="295" ht="15.75" customHeight="1">
      <c r="A295" s="65"/>
      <c r="B295" s="65"/>
      <c r="C295" s="65"/>
      <c r="D295" s="65"/>
      <c r="E295" s="66"/>
      <c r="F295" s="65"/>
      <c r="G295" s="67"/>
      <c r="H295" s="67"/>
    </row>
    <row r="296" ht="15.75" customHeight="1">
      <c r="A296" s="65"/>
      <c r="B296" s="65"/>
      <c r="C296" s="65"/>
      <c r="D296" s="65"/>
      <c r="E296" s="66"/>
      <c r="F296" s="65"/>
      <c r="G296" s="67"/>
      <c r="H296" s="67"/>
    </row>
    <row r="297" ht="15.75" customHeight="1">
      <c r="A297" s="65"/>
      <c r="B297" s="65"/>
      <c r="C297" s="65"/>
      <c r="D297" s="65"/>
      <c r="E297" s="66"/>
      <c r="F297" s="65"/>
      <c r="G297" s="67"/>
      <c r="H297" s="67"/>
    </row>
    <row r="298" ht="15.75" customHeight="1">
      <c r="A298" s="65"/>
      <c r="B298" s="65"/>
      <c r="C298" s="65"/>
      <c r="D298" s="65"/>
      <c r="E298" s="66"/>
      <c r="F298" s="65"/>
      <c r="G298" s="67"/>
      <c r="H298" s="67"/>
    </row>
    <row r="299" ht="15.75" customHeight="1">
      <c r="A299" s="65"/>
      <c r="B299" s="65"/>
      <c r="C299" s="65"/>
      <c r="D299" s="65"/>
      <c r="E299" s="66"/>
      <c r="F299" s="65"/>
      <c r="G299" s="67"/>
      <c r="H299" s="67"/>
    </row>
    <row r="300" ht="15.75" customHeight="1">
      <c r="A300" s="65"/>
      <c r="B300" s="65"/>
      <c r="C300" s="65"/>
      <c r="D300" s="65"/>
      <c r="E300" s="66"/>
      <c r="F300" s="65"/>
      <c r="G300" s="67"/>
      <c r="H300" s="67"/>
    </row>
    <row r="301" ht="15.75" customHeight="1">
      <c r="A301" s="65"/>
      <c r="B301" s="65"/>
      <c r="C301" s="65"/>
      <c r="D301" s="65"/>
      <c r="E301" s="66"/>
      <c r="F301" s="65"/>
      <c r="G301" s="67"/>
      <c r="H301" s="67"/>
    </row>
    <row r="302" ht="15.75" customHeight="1">
      <c r="A302" s="65"/>
      <c r="B302" s="65"/>
      <c r="C302" s="65"/>
      <c r="D302" s="65"/>
      <c r="E302" s="66"/>
      <c r="F302" s="65"/>
      <c r="G302" s="67"/>
      <c r="H302" s="67"/>
    </row>
    <row r="303" ht="15.75" customHeight="1">
      <c r="A303" s="65"/>
      <c r="B303" s="65"/>
      <c r="C303" s="65"/>
      <c r="D303" s="65"/>
      <c r="E303" s="66"/>
      <c r="F303" s="65"/>
      <c r="G303" s="67"/>
      <c r="H303" s="67"/>
    </row>
    <row r="304" ht="15.75" customHeight="1">
      <c r="A304" s="65"/>
      <c r="B304" s="65"/>
      <c r="C304" s="65"/>
      <c r="D304" s="65"/>
      <c r="E304" s="66"/>
      <c r="F304" s="65"/>
      <c r="G304" s="67"/>
      <c r="H304" s="67"/>
    </row>
    <row r="305" ht="15.75" customHeight="1">
      <c r="A305" s="65"/>
      <c r="B305" s="65"/>
      <c r="C305" s="65"/>
      <c r="D305" s="65"/>
      <c r="E305" s="66"/>
      <c r="F305" s="65"/>
      <c r="G305" s="67"/>
      <c r="H305" s="67"/>
    </row>
    <row r="306" ht="15.75" customHeight="1">
      <c r="A306" s="65"/>
      <c r="B306" s="65"/>
      <c r="C306" s="65"/>
      <c r="D306" s="65"/>
      <c r="E306" s="66"/>
      <c r="F306" s="65"/>
      <c r="G306" s="67"/>
      <c r="H306" s="67"/>
    </row>
    <row r="307" ht="15.75" customHeight="1">
      <c r="A307" s="65"/>
      <c r="B307" s="65"/>
      <c r="C307" s="65"/>
      <c r="D307" s="65"/>
      <c r="E307" s="66"/>
      <c r="F307" s="65"/>
      <c r="G307" s="67"/>
      <c r="H307" s="67"/>
    </row>
    <row r="308" ht="15.75" customHeight="1">
      <c r="A308" s="65"/>
      <c r="B308" s="65"/>
      <c r="C308" s="65"/>
      <c r="D308" s="65"/>
      <c r="E308" s="66"/>
      <c r="F308" s="65"/>
      <c r="G308" s="67"/>
      <c r="H308" s="67"/>
    </row>
    <row r="309" ht="15.75" customHeight="1">
      <c r="A309" s="65"/>
      <c r="B309" s="65"/>
      <c r="C309" s="65"/>
      <c r="D309" s="65"/>
      <c r="E309" s="66"/>
      <c r="F309" s="65"/>
      <c r="G309" s="67"/>
      <c r="H309" s="67"/>
    </row>
    <row r="310" ht="15.75" customHeight="1">
      <c r="A310" s="65"/>
      <c r="B310" s="65"/>
      <c r="C310" s="65"/>
      <c r="D310" s="65"/>
      <c r="E310" s="66"/>
      <c r="F310" s="65"/>
      <c r="G310" s="67"/>
      <c r="H310" s="67"/>
    </row>
    <row r="311" ht="15.75" customHeight="1">
      <c r="A311" s="65"/>
      <c r="B311" s="65"/>
      <c r="C311" s="65"/>
      <c r="D311" s="65"/>
      <c r="E311" s="66"/>
      <c r="F311" s="65"/>
      <c r="G311" s="67"/>
      <c r="H311" s="67"/>
    </row>
    <row r="312" ht="15.75" customHeight="1">
      <c r="A312" s="65"/>
      <c r="B312" s="65"/>
      <c r="C312" s="65"/>
      <c r="D312" s="65"/>
      <c r="E312" s="66"/>
      <c r="F312" s="65"/>
      <c r="G312" s="67"/>
      <c r="H312" s="67"/>
    </row>
    <row r="313" ht="15.75" customHeight="1">
      <c r="A313" s="65"/>
      <c r="B313" s="65"/>
      <c r="C313" s="65"/>
      <c r="D313" s="65"/>
      <c r="E313" s="66"/>
      <c r="F313" s="65"/>
      <c r="G313" s="67"/>
      <c r="H313" s="67"/>
    </row>
    <row r="314" ht="15.75" customHeight="1">
      <c r="A314" s="65"/>
      <c r="B314" s="65"/>
      <c r="C314" s="65"/>
      <c r="D314" s="65"/>
      <c r="E314" s="66"/>
      <c r="F314" s="65"/>
      <c r="G314" s="67"/>
      <c r="H314" s="67"/>
    </row>
    <row r="315" ht="15.75" customHeight="1">
      <c r="A315" s="65"/>
      <c r="B315" s="65"/>
      <c r="C315" s="65"/>
      <c r="D315" s="65"/>
      <c r="E315" s="66"/>
      <c r="F315" s="65"/>
      <c r="G315" s="67"/>
      <c r="H315" s="67"/>
    </row>
    <row r="316" ht="15.75" customHeight="1">
      <c r="A316" s="65"/>
      <c r="B316" s="65"/>
      <c r="C316" s="65"/>
      <c r="D316" s="65"/>
      <c r="E316" s="66"/>
      <c r="F316" s="65"/>
      <c r="G316" s="67"/>
      <c r="H316" s="67"/>
    </row>
    <row r="317" ht="15.75" customHeight="1">
      <c r="A317" s="65"/>
      <c r="B317" s="65"/>
      <c r="C317" s="65"/>
      <c r="D317" s="65"/>
      <c r="E317" s="66"/>
      <c r="F317" s="65"/>
      <c r="G317" s="67"/>
      <c r="H317" s="67"/>
    </row>
    <row r="318" ht="15.75" customHeight="1">
      <c r="A318" s="65"/>
      <c r="B318" s="65"/>
      <c r="C318" s="65"/>
      <c r="D318" s="65"/>
      <c r="E318" s="66"/>
      <c r="F318" s="65"/>
      <c r="G318" s="67"/>
      <c r="H318" s="67"/>
    </row>
    <row r="319" ht="15.75" customHeight="1">
      <c r="A319" s="65"/>
      <c r="B319" s="65"/>
      <c r="C319" s="65"/>
      <c r="D319" s="65"/>
      <c r="E319" s="66"/>
      <c r="F319" s="65"/>
      <c r="G319" s="67"/>
      <c r="H319" s="67"/>
    </row>
    <row r="320" ht="15.75" customHeight="1">
      <c r="A320" s="65"/>
      <c r="B320" s="65"/>
      <c r="C320" s="65"/>
      <c r="D320" s="65"/>
      <c r="E320" s="66"/>
      <c r="F320" s="65"/>
      <c r="G320" s="67"/>
      <c r="H320" s="67"/>
    </row>
    <row r="321" ht="15.75" customHeight="1">
      <c r="A321" s="65"/>
      <c r="B321" s="65"/>
      <c r="C321" s="65"/>
      <c r="D321" s="65"/>
      <c r="E321" s="66"/>
      <c r="F321" s="65"/>
      <c r="G321" s="67"/>
      <c r="H321" s="67"/>
    </row>
    <row r="322" ht="15.75" customHeight="1">
      <c r="A322" s="65"/>
      <c r="B322" s="65"/>
      <c r="C322" s="65"/>
      <c r="D322" s="65"/>
      <c r="E322" s="66"/>
      <c r="F322" s="65"/>
      <c r="G322" s="67"/>
      <c r="H322" s="67"/>
    </row>
    <row r="323" ht="15.75" customHeight="1">
      <c r="A323" s="65"/>
      <c r="B323" s="65"/>
      <c r="C323" s="65"/>
      <c r="D323" s="65"/>
      <c r="E323" s="66"/>
      <c r="F323" s="65"/>
      <c r="G323" s="67"/>
      <c r="H323" s="67"/>
    </row>
    <row r="324" ht="15.75" customHeight="1">
      <c r="A324" s="65"/>
      <c r="B324" s="65"/>
      <c r="C324" s="65"/>
      <c r="D324" s="65"/>
      <c r="E324" s="66"/>
      <c r="F324" s="65"/>
      <c r="G324" s="67"/>
      <c r="H324" s="67"/>
    </row>
    <row r="325" ht="15.75" customHeight="1">
      <c r="A325" s="65"/>
      <c r="B325" s="65"/>
      <c r="C325" s="65"/>
      <c r="D325" s="65"/>
      <c r="E325" s="66"/>
      <c r="F325" s="65"/>
      <c r="G325" s="67"/>
      <c r="H325" s="67"/>
    </row>
    <row r="326" ht="15.75" customHeight="1">
      <c r="A326" s="65"/>
      <c r="B326" s="65"/>
      <c r="C326" s="65"/>
      <c r="D326" s="65"/>
      <c r="E326" s="66"/>
      <c r="F326" s="65"/>
      <c r="G326" s="67"/>
      <c r="H326" s="67"/>
    </row>
    <row r="327" ht="15.75" customHeight="1">
      <c r="A327" s="65"/>
      <c r="B327" s="65"/>
      <c r="C327" s="65"/>
      <c r="D327" s="65"/>
      <c r="E327" s="66"/>
      <c r="F327" s="65"/>
      <c r="G327" s="67"/>
      <c r="H327" s="67"/>
    </row>
    <row r="328" ht="15.75" customHeight="1">
      <c r="A328" s="65"/>
      <c r="B328" s="65"/>
      <c r="C328" s="65"/>
      <c r="D328" s="65"/>
      <c r="E328" s="66"/>
      <c r="F328" s="65"/>
      <c r="G328" s="67"/>
      <c r="H328" s="67"/>
    </row>
    <row r="329" ht="15.75" customHeight="1">
      <c r="A329" s="65"/>
      <c r="B329" s="65"/>
      <c r="C329" s="65"/>
      <c r="D329" s="65"/>
      <c r="E329" s="66"/>
      <c r="F329" s="65"/>
      <c r="G329" s="67"/>
      <c r="H329" s="67"/>
    </row>
    <row r="330" ht="15.75" customHeight="1">
      <c r="A330" s="65"/>
      <c r="B330" s="65"/>
      <c r="C330" s="65"/>
      <c r="D330" s="65"/>
      <c r="E330" s="66"/>
      <c r="F330" s="65"/>
      <c r="G330" s="67"/>
      <c r="H330" s="67"/>
    </row>
    <row r="331" ht="15.75" customHeight="1">
      <c r="A331" s="65"/>
      <c r="B331" s="65"/>
      <c r="C331" s="65"/>
      <c r="D331" s="65"/>
      <c r="E331" s="66"/>
      <c r="F331" s="65"/>
      <c r="G331" s="67"/>
      <c r="H331" s="67"/>
    </row>
    <row r="332" ht="15.75" customHeight="1">
      <c r="A332" s="65"/>
      <c r="B332" s="65"/>
      <c r="C332" s="65"/>
      <c r="D332" s="65"/>
      <c r="E332" s="66"/>
      <c r="F332" s="65"/>
      <c r="G332" s="67"/>
      <c r="H332" s="67"/>
    </row>
    <row r="333" ht="15.75" customHeight="1">
      <c r="A333" s="65"/>
      <c r="B333" s="65"/>
      <c r="C333" s="65"/>
      <c r="D333" s="65"/>
      <c r="E333" s="66"/>
      <c r="F333" s="65"/>
      <c r="G333" s="67"/>
      <c r="H333" s="67"/>
    </row>
    <row r="334" ht="15.75" customHeight="1">
      <c r="A334" s="65"/>
      <c r="B334" s="65"/>
      <c r="C334" s="65"/>
      <c r="D334" s="65"/>
      <c r="E334" s="66"/>
      <c r="F334" s="65"/>
      <c r="G334" s="67"/>
      <c r="H334" s="67"/>
    </row>
    <row r="335" ht="15.75" customHeight="1">
      <c r="A335" s="65"/>
      <c r="B335" s="65"/>
      <c r="C335" s="65"/>
      <c r="D335" s="65"/>
      <c r="E335" s="66"/>
      <c r="F335" s="65"/>
      <c r="G335" s="67"/>
      <c r="H335" s="67"/>
    </row>
    <row r="336" ht="15.75" customHeight="1">
      <c r="A336" s="65"/>
      <c r="B336" s="65"/>
      <c r="C336" s="65"/>
      <c r="D336" s="65"/>
      <c r="E336" s="66"/>
      <c r="F336" s="65"/>
      <c r="G336" s="67"/>
      <c r="H336" s="67"/>
    </row>
    <row r="337" ht="15.75" customHeight="1">
      <c r="A337" s="65"/>
      <c r="B337" s="65"/>
      <c r="C337" s="65"/>
      <c r="D337" s="65"/>
      <c r="E337" s="66"/>
      <c r="F337" s="65"/>
      <c r="G337" s="67"/>
      <c r="H337" s="67"/>
    </row>
    <row r="338" ht="15.75" customHeight="1">
      <c r="A338" s="65"/>
      <c r="B338" s="65"/>
      <c r="C338" s="65"/>
      <c r="D338" s="65"/>
      <c r="E338" s="66"/>
      <c r="F338" s="65"/>
      <c r="G338" s="67"/>
      <c r="H338" s="67"/>
    </row>
    <row r="339" ht="15.75" customHeight="1">
      <c r="A339" s="65"/>
      <c r="B339" s="65"/>
      <c r="C339" s="65"/>
      <c r="D339" s="65"/>
      <c r="E339" s="66"/>
      <c r="F339" s="65"/>
      <c r="G339" s="67"/>
      <c r="H339" s="67"/>
    </row>
    <row r="340" ht="15.75" customHeight="1">
      <c r="A340" s="65"/>
      <c r="B340" s="65"/>
      <c r="C340" s="65"/>
      <c r="D340" s="65"/>
      <c r="E340" s="66"/>
      <c r="F340" s="65"/>
      <c r="G340" s="67"/>
      <c r="H340" s="67"/>
    </row>
    <row r="341" ht="15.75" customHeight="1">
      <c r="A341" s="65"/>
      <c r="B341" s="65"/>
      <c r="C341" s="65"/>
      <c r="D341" s="65"/>
      <c r="E341" s="66"/>
      <c r="F341" s="65"/>
      <c r="G341" s="67"/>
      <c r="H341" s="67"/>
    </row>
    <row r="342" ht="15.75" customHeight="1">
      <c r="A342" s="65"/>
      <c r="B342" s="65"/>
      <c r="C342" s="65"/>
      <c r="D342" s="65"/>
      <c r="E342" s="66"/>
      <c r="F342" s="65"/>
      <c r="G342" s="67"/>
      <c r="H342" s="67"/>
    </row>
    <row r="343" ht="15.75" customHeight="1">
      <c r="A343" s="65"/>
      <c r="B343" s="65"/>
      <c r="C343" s="65"/>
      <c r="D343" s="65"/>
      <c r="E343" s="66"/>
      <c r="F343" s="65"/>
      <c r="G343" s="67"/>
      <c r="H343" s="67"/>
    </row>
    <row r="344" ht="15.75" customHeight="1">
      <c r="A344" s="65"/>
      <c r="B344" s="65"/>
      <c r="C344" s="65"/>
      <c r="D344" s="65"/>
      <c r="E344" s="66"/>
      <c r="F344" s="65"/>
      <c r="G344" s="67"/>
      <c r="H344" s="67"/>
    </row>
    <row r="345" ht="15.75" customHeight="1">
      <c r="A345" s="65"/>
      <c r="B345" s="65"/>
      <c r="C345" s="65"/>
      <c r="D345" s="65"/>
      <c r="E345" s="66"/>
      <c r="F345" s="65"/>
      <c r="G345" s="67"/>
      <c r="H345" s="67"/>
    </row>
    <row r="346" ht="15.75" customHeight="1">
      <c r="A346" s="65"/>
      <c r="B346" s="65"/>
      <c r="C346" s="65"/>
      <c r="D346" s="65"/>
      <c r="E346" s="66"/>
      <c r="F346" s="65"/>
      <c r="G346" s="67"/>
      <c r="H346" s="67"/>
    </row>
    <row r="347" ht="15.75" customHeight="1">
      <c r="A347" s="65"/>
      <c r="B347" s="65"/>
      <c r="C347" s="65"/>
      <c r="D347" s="65"/>
      <c r="E347" s="66"/>
      <c r="F347" s="65"/>
      <c r="G347" s="67"/>
      <c r="H347" s="67"/>
    </row>
    <row r="348" ht="15.75" customHeight="1">
      <c r="A348" s="65"/>
      <c r="B348" s="65"/>
      <c r="C348" s="65"/>
      <c r="D348" s="65"/>
      <c r="E348" s="66"/>
      <c r="F348" s="65"/>
      <c r="G348" s="67"/>
      <c r="H348" s="67"/>
    </row>
    <row r="349" ht="15.75" customHeight="1">
      <c r="A349" s="65"/>
      <c r="B349" s="65"/>
      <c r="C349" s="65"/>
      <c r="D349" s="65"/>
      <c r="E349" s="66"/>
      <c r="F349" s="65"/>
      <c r="G349" s="67"/>
      <c r="H349" s="67"/>
    </row>
    <row r="350" ht="15.75" customHeight="1">
      <c r="A350" s="65"/>
      <c r="B350" s="65"/>
      <c r="C350" s="65"/>
      <c r="D350" s="65"/>
      <c r="E350" s="66"/>
      <c r="F350" s="65"/>
      <c r="G350" s="67"/>
      <c r="H350" s="67"/>
    </row>
    <row r="351" ht="15.75" customHeight="1">
      <c r="A351" s="65"/>
      <c r="B351" s="65"/>
      <c r="C351" s="65"/>
      <c r="D351" s="65"/>
      <c r="E351" s="66"/>
      <c r="F351" s="65"/>
      <c r="G351" s="67"/>
      <c r="H351" s="67"/>
    </row>
    <row r="352" ht="15.75" customHeight="1">
      <c r="A352" s="65"/>
      <c r="B352" s="65"/>
      <c r="C352" s="65"/>
      <c r="D352" s="65"/>
      <c r="E352" s="66"/>
      <c r="F352" s="65"/>
      <c r="G352" s="67"/>
      <c r="H352" s="67"/>
    </row>
    <row r="353" ht="15.75" customHeight="1">
      <c r="A353" s="65"/>
      <c r="B353" s="65"/>
      <c r="C353" s="65"/>
      <c r="D353" s="65"/>
      <c r="E353" s="66"/>
      <c r="F353" s="65"/>
      <c r="G353" s="67"/>
      <c r="H353" s="67"/>
    </row>
    <row r="354" ht="15.75" customHeight="1">
      <c r="A354" s="65"/>
      <c r="B354" s="65"/>
      <c r="C354" s="65"/>
      <c r="D354" s="65"/>
      <c r="E354" s="66"/>
      <c r="F354" s="65"/>
      <c r="G354" s="67"/>
      <c r="H354" s="67"/>
    </row>
    <row r="355" ht="15.75" customHeight="1">
      <c r="A355" s="65"/>
      <c r="B355" s="65"/>
      <c r="C355" s="65"/>
      <c r="D355" s="65"/>
      <c r="E355" s="66"/>
      <c r="F355" s="65"/>
      <c r="G355" s="67"/>
      <c r="H355" s="67"/>
    </row>
    <row r="356" ht="15.75" customHeight="1">
      <c r="A356" s="65"/>
      <c r="B356" s="65"/>
      <c r="C356" s="65"/>
      <c r="D356" s="65"/>
      <c r="E356" s="66"/>
      <c r="F356" s="65"/>
      <c r="G356" s="67"/>
      <c r="H356" s="67"/>
    </row>
    <row r="357" ht="15.75" customHeight="1">
      <c r="A357" s="65"/>
      <c r="B357" s="65"/>
      <c r="C357" s="65"/>
      <c r="D357" s="65"/>
      <c r="E357" s="66"/>
      <c r="F357" s="65"/>
      <c r="G357" s="67"/>
      <c r="H357" s="67"/>
    </row>
    <row r="358" ht="15.75" customHeight="1">
      <c r="A358" s="65"/>
      <c r="B358" s="65"/>
      <c r="C358" s="65"/>
      <c r="D358" s="65"/>
      <c r="E358" s="66"/>
      <c r="F358" s="65"/>
      <c r="G358" s="67"/>
      <c r="H358" s="67"/>
    </row>
    <row r="359" ht="15.75" customHeight="1">
      <c r="A359" s="65"/>
      <c r="B359" s="65"/>
      <c r="C359" s="65"/>
      <c r="D359" s="65"/>
      <c r="E359" s="66"/>
      <c r="F359" s="65"/>
      <c r="G359" s="67"/>
      <c r="H359" s="67"/>
    </row>
    <row r="360" ht="15.75" customHeight="1">
      <c r="A360" s="65"/>
      <c r="B360" s="65"/>
      <c r="C360" s="65"/>
      <c r="D360" s="65"/>
      <c r="E360" s="66"/>
      <c r="F360" s="65"/>
      <c r="G360" s="67"/>
      <c r="H360" s="67"/>
    </row>
    <row r="361" ht="15.75" customHeight="1">
      <c r="A361" s="65"/>
      <c r="B361" s="65"/>
      <c r="C361" s="65"/>
      <c r="D361" s="65"/>
      <c r="E361" s="66"/>
      <c r="F361" s="65"/>
      <c r="G361" s="67"/>
      <c r="H361" s="67"/>
    </row>
    <row r="362" ht="15.75" customHeight="1">
      <c r="A362" s="65"/>
      <c r="B362" s="65"/>
      <c r="C362" s="65"/>
      <c r="D362" s="65"/>
      <c r="E362" s="66"/>
      <c r="F362" s="65"/>
      <c r="G362" s="67"/>
      <c r="H362" s="67"/>
    </row>
    <row r="363" ht="15.75" customHeight="1">
      <c r="A363" s="65"/>
      <c r="B363" s="65"/>
      <c r="C363" s="65"/>
      <c r="D363" s="65"/>
      <c r="E363" s="66"/>
      <c r="F363" s="65"/>
      <c r="G363" s="67"/>
      <c r="H363" s="67"/>
    </row>
    <row r="364" ht="15.75" customHeight="1">
      <c r="A364" s="65"/>
      <c r="B364" s="65"/>
      <c r="C364" s="65"/>
      <c r="D364" s="65"/>
      <c r="E364" s="66"/>
      <c r="F364" s="65"/>
      <c r="G364" s="67"/>
      <c r="H364" s="67"/>
    </row>
    <row r="365" ht="15.75" customHeight="1">
      <c r="A365" s="65"/>
      <c r="B365" s="65"/>
      <c r="C365" s="65"/>
      <c r="D365" s="65"/>
      <c r="E365" s="66"/>
      <c r="F365" s="65"/>
      <c r="G365" s="67"/>
      <c r="H365" s="67"/>
    </row>
    <row r="366" ht="15.75" customHeight="1">
      <c r="A366" s="65"/>
      <c r="B366" s="65"/>
      <c r="C366" s="65"/>
      <c r="D366" s="65"/>
      <c r="E366" s="66"/>
      <c r="F366" s="65"/>
      <c r="G366" s="67"/>
      <c r="H366" s="67"/>
    </row>
    <row r="367" ht="15.75" customHeight="1">
      <c r="A367" s="65"/>
      <c r="B367" s="65"/>
      <c r="C367" s="65"/>
      <c r="D367" s="65"/>
      <c r="E367" s="66"/>
      <c r="F367" s="65"/>
      <c r="G367" s="67"/>
      <c r="H367" s="67"/>
    </row>
    <row r="368" ht="15.75" customHeight="1">
      <c r="A368" s="65"/>
      <c r="B368" s="65"/>
      <c r="C368" s="65"/>
      <c r="D368" s="65"/>
      <c r="E368" s="66"/>
      <c r="F368" s="65"/>
      <c r="G368" s="67"/>
      <c r="H368" s="67"/>
    </row>
    <row r="369" ht="15.75" customHeight="1">
      <c r="A369" s="65"/>
      <c r="B369" s="65"/>
      <c r="C369" s="65"/>
      <c r="D369" s="65"/>
      <c r="E369" s="66"/>
      <c r="F369" s="65"/>
      <c r="G369" s="67"/>
      <c r="H369" s="67"/>
    </row>
    <row r="370" ht="15.75" customHeight="1">
      <c r="A370" s="65"/>
      <c r="B370" s="65"/>
      <c r="C370" s="65"/>
      <c r="D370" s="65"/>
      <c r="E370" s="66"/>
      <c r="F370" s="65"/>
      <c r="G370" s="67"/>
      <c r="H370" s="67"/>
    </row>
    <row r="371" ht="15.75" customHeight="1">
      <c r="A371" s="65"/>
      <c r="B371" s="65"/>
      <c r="C371" s="65"/>
      <c r="D371" s="65"/>
      <c r="E371" s="66"/>
      <c r="F371" s="65"/>
      <c r="G371" s="67"/>
      <c r="H371" s="67"/>
    </row>
    <row r="372" ht="15.75" customHeight="1">
      <c r="A372" s="65"/>
      <c r="B372" s="65"/>
      <c r="C372" s="65"/>
      <c r="D372" s="65"/>
      <c r="E372" s="66"/>
      <c r="F372" s="65"/>
      <c r="G372" s="67"/>
      <c r="H372" s="67"/>
    </row>
    <row r="373" ht="15.75" customHeight="1">
      <c r="A373" s="65"/>
      <c r="B373" s="65"/>
      <c r="C373" s="65"/>
      <c r="D373" s="65"/>
      <c r="E373" s="66"/>
      <c r="F373" s="65"/>
      <c r="G373" s="67"/>
      <c r="H373" s="67"/>
    </row>
    <row r="374" ht="15.75" customHeight="1">
      <c r="A374" s="65"/>
      <c r="B374" s="65"/>
      <c r="C374" s="65"/>
      <c r="D374" s="65"/>
      <c r="E374" s="66"/>
      <c r="F374" s="65"/>
      <c r="G374" s="67"/>
      <c r="H374" s="67"/>
    </row>
    <row r="375" ht="15.75" customHeight="1">
      <c r="A375" s="65"/>
      <c r="B375" s="65"/>
      <c r="C375" s="65"/>
      <c r="D375" s="65"/>
      <c r="E375" s="66"/>
      <c r="F375" s="65"/>
      <c r="G375" s="67"/>
      <c r="H375" s="67"/>
    </row>
    <row r="376" ht="15.75" customHeight="1">
      <c r="A376" s="65"/>
      <c r="B376" s="65"/>
      <c r="C376" s="65"/>
      <c r="D376" s="65"/>
      <c r="E376" s="66"/>
      <c r="F376" s="65"/>
      <c r="G376" s="67"/>
      <c r="H376" s="67"/>
    </row>
    <row r="377" ht="15.75" customHeight="1">
      <c r="A377" s="65"/>
      <c r="B377" s="65"/>
      <c r="C377" s="65"/>
      <c r="D377" s="65"/>
      <c r="E377" s="66"/>
      <c r="F377" s="65"/>
      <c r="G377" s="67"/>
      <c r="H377" s="67"/>
    </row>
    <row r="378" ht="15.75" customHeight="1">
      <c r="A378" s="65"/>
      <c r="B378" s="65"/>
      <c r="C378" s="65"/>
      <c r="D378" s="65"/>
      <c r="E378" s="66"/>
      <c r="F378" s="65"/>
      <c r="G378" s="67"/>
      <c r="H378" s="67"/>
    </row>
    <row r="379" ht="15.75" customHeight="1">
      <c r="A379" s="65"/>
      <c r="B379" s="65"/>
      <c r="C379" s="65"/>
      <c r="D379" s="65"/>
      <c r="E379" s="66"/>
      <c r="F379" s="65"/>
      <c r="G379" s="67"/>
      <c r="H379" s="67"/>
    </row>
    <row r="380" ht="15.75" customHeight="1">
      <c r="A380" s="65"/>
      <c r="B380" s="65"/>
      <c r="C380" s="65"/>
      <c r="D380" s="65"/>
      <c r="E380" s="66"/>
      <c r="F380" s="65"/>
      <c r="G380" s="67"/>
      <c r="H380" s="67"/>
    </row>
    <row r="381" ht="15.75" customHeight="1">
      <c r="A381" s="65"/>
      <c r="B381" s="65"/>
      <c r="C381" s="65"/>
      <c r="D381" s="65"/>
      <c r="E381" s="66"/>
      <c r="F381" s="65"/>
      <c r="G381" s="67"/>
      <c r="H381" s="67"/>
    </row>
    <row r="382" ht="15.75" customHeight="1">
      <c r="A382" s="65"/>
      <c r="B382" s="65"/>
      <c r="C382" s="65"/>
      <c r="D382" s="65"/>
      <c r="E382" s="66"/>
      <c r="F382" s="65"/>
      <c r="G382" s="67"/>
      <c r="H382" s="67"/>
    </row>
    <row r="383" ht="15.75" customHeight="1">
      <c r="A383" s="65"/>
      <c r="B383" s="65"/>
      <c r="C383" s="65"/>
      <c r="D383" s="65"/>
      <c r="E383" s="66"/>
      <c r="F383" s="65"/>
      <c r="G383" s="67"/>
      <c r="H383" s="67"/>
    </row>
    <row r="384" ht="15.75" customHeight="1">
      <c r="A384" s="65"/>
      <c r="B384" s="65"/>
      <c r="C384" s="65"/>
      <c r="D384" s="65"/>
      <c r="E384" s="66"/>
      <c r="F384" s="65"/>
      <c r="G384" s="67"/>
      <c r="H384" s="67"/>
    </row>
    <row r="385" ht="15.75" customHeight="1">
      <c r="A385" s="65"/>
      <c r="B385" s="65"/>
      <c r="C385" s="65"/>
      <c r="D385" s="65"/>
      <c r="E385" s="66"/>
      <c r="F385" s="65"/>
      <c r="G385" s="67"/>
      <c r="H385" s="67"/>
    </row>
    <row r="386" ht="15.75" customHeight="1">
      <c r="A386" s="65"/>
      <c r="B386" s="65"/>
      <c r="C386" s="65"/>
      <c r="D386" s="65"/>
      <c r="E386" s="66"/>
      <c r="F386" s="65"/>
      <c r="G386" s="67"/>
      <c r="H386" s="67"/>
    </row>
    <row r="387" ht="15.75" customHeight="1">
      <c r="A387" s="65"/>
      <c r="B387" s="65"/>
      <c r="C387" s="65"/>
      <c r="D387" s="65"/>
      <c r="E387" s="66"/>
      <c r="F387" s="65"/>
      <c r="G387" s="67"/>
      <c r="H387" s="67"/>
    </row>
    <row r="388" ht="15.75" customHeight="1">
      <c r="A388" s="65"/>
      <c r="B388" s="65"/>
      <c r="C388" s="65"/>
      <c r="D388" s="65"/>
      <c r="E388" s="66"/>
      <c r="F388" s="65"/>
      <c r="G388" s="67"/>
      <c r="H388" s="67"/>
    </row>
    <row r="389" ht="15.75" customHeight="1">
      <c r="A389" s="65"/>
      <c r="B389" s="65"/>
      <c r="C389" s="65"/>
      <c r="D389" s="65"/>
      <c r="E389" s="66"/>
      <c r="F389" s="65"/>
      <c r="G389" s="67"/>
      <c r="H389" s="67"/>
    </row>
    <row r="390" ht="15.75" customHeight="1">
      <c r="A390" s="65"/>
      <c r="B390" s="65"/>
      <c r="C390" s="65"/>
      <c r="D390" s="65"/>
      <c r="E390" s="66"/>
      <c r="F390" s="65"/>
      <c r="G390" s="67"/>
      <c r="H390" s="67"/>
    </row>
    <row r="391" ht="15.75" customHeight="1">
      <c r="A391" s="65"/>
      <c r="B391" s="65"/>
      <c r="C391" s="65"/>
      <c r="D391" s="65"/>
      <c r="E391" s="66"/>
      <c r="F391" s="65"/>
      <c r="G391" s="67"/>
      <c r="H391" s="67"/>
    </row>
    <row r="392" ht="15.75" customHeight="1">
      <c r="A392" s="65"/>
      <c r="B392" s="65"/>
      <c r="C392" s="65"/>
      <c r="D392" s="65"/>
      <c r="E392" s="66"/>
      <c r="F392" s="65"/>
      <c r="G392" s="67"/>
      <c r="H392" s="67"/>
    </row>
    <row r="393" ht="15.75" customHeight="1">
      <c r="A393" s="65"/>
      <c r="B393" s="65"/>
      <c r="C393" s="65"/>
      <c r="D393" s="65"/>
      <c r="E393" s="66"/>
      <c r="F393" s="65"/>
      <c r="G393" s="67"/>
      <c r="H393" s="67"/>
    </row>
    <row r="394" ht="15.75" customHeight="1">
      <c r="A394" s="65"/>
      <c r="B394" s="65"/>
      <c r="C394" s="65"/>
      <c r="D394" s="65"/>
      <c r="E394" s="66"/>
      <c r="F394" s="65"/>
      <c r="G394" s="67"/>
      <c r="H394" s="67"/>
    </row>
    <row r="395" ht="15.75" customHeight="1">
      <c r="A395" s="65"/>
      <c r="B395" s="65"/>
      <c r="C395" s="65"/>
      <c r="D395" s="65"/>
      <c r="E395" s="66"/>
      <c r="F395" s="65"/>
      <c r="G395" s="67"/>
      <c r="H395" s="67"/>
    </row>
    <row r="396" ht="15.75" customHeight="1">
      <c r="A396" s="65"/>
      <c r="B396" s="65"/>
      <c r="C396" s="65"/>
      <c r="D396" s="65"/>
      <c r="E396" s="66"/>
      <c r="F396" s="65"/>
      <c r="G396" s="67"/>
      <c r="H396" s="67"/>
    </row>
    <row r="397" ht="15.75" customHeight="1">
      <c r="A397" s="65"/>
      <c r="B397" s="65"/>
      <c r="C397" s="65"/>
      <c r="D397" s="65"/>
      <c r="E397" s="66"/>
      <c r="F397" s="65"/>
      <c r="G397" s="67"/>
      <c r="H397" s="67"/>
    </row>
    <row r="398" ht="15.75" customHeight="1">
      <c r="A398" s="65"/>
      <c r="B398" s="65"/>
      <c r="C398" s="65"/>
      <c r="D398" s="65"/>
      <c r="E398" s="66"/>
      <c r="F398" s="65"/>
      <c r="G398" s="67"/>
      <c r="H398" s="67"/>
    </row>
    <row r="399" ht="15.75" customHeight="1">
      <c r="A399" s="65"/>
      <c r="B399" s="65"/>
      <c r="C399" s="65"/>
      <c r="D399" s="65"/>
      <c r="E399" s="66"/>
      <c r="F399" s="65"/>
      <c r="G399" s="67"/>
      <c r="H399" s="67"/>
    </row>
    <row r="400" ht="15.75" customHeight="1">
      <c r="A400" s="65"/>
      <c r="B400" s="65"/>
      <c r="C400" s="65"/>
      <c r="D400" s="65"/>
      <c r="E400" s="66"/>
      <c r="F400" s="65"/>
      <c r="G400" s="67"/>
      <c r="H400" s="67"/>
    </row>
    <row r="401" ht="15.75" customHeight="1">
      <c r="A401" s="65"/>
      <c r="B401" s="65"/>
      <c r="C401" s="65"/>
      <c r="D401" s="65"/>
      <c r="E401" s="66"/>
      <c r="F401" s="65"/>
      <c r="G401" s="67"/>
      <c r="H401" s="67"/>
    </row>
    <row r="402" ht="15.75" customHeight="1">
      <c r="A402" s="65"/>
      <c r="B402" s="65"/>
      <c r="C402" s="65"/>
      <c r="D402" s="65"/>
      <c r="E402" s="66"/>
      <c r="F402" s="65"/>
      <c r="G402" s="67"/>
      <c r="H402" s="67"/>
    </row>
    <row r="403" ht="15.75" customHeight="1">
      <c r="A403" s="65"/>
      <c r="B403" s="65"/>
      <c r="C403" s="65"/>
      <c r="D403" s="65"/>
      <c r="E403" s="66"/>
      <c r="F403" s="65"/>
      <c r="G403" s="67"/>
      <c r="H403" s="67"/>
    </row>
    <row r="404" ht="15.75" customHeight="1">
      <c r="A404" s="65"/>
      <c r="B404" s="65"/>
      <c r="C404" s="65"/>
      <c r="D404" s="65"/>
      <c r="E404" s="66"/>
      <c r="F404" s="65"/>
      <c r="G404" s="67"/>
      <c r="H404" s="67"/>
    </row>
    <row r="405" ht="15.75" customHeight="1">
      <c r="A405" s="65"/>
      <c r="B405" s="65"/>
      <c r="C405" s="65"/>
      <c r="D405" s="65"/>
      <c r="E405" s="66"/>
      <c r="F405" s="65"/>
      <c r="G405" s="67"/>
      <c r="H405" s="67"/>
    </row>
    <row r="406" ht="15.75" customHeight="1">
      <c r="A406" s="65"/>
      <c r="B406" s="65"/>
      <c r="C406" s="65"/>
      <c r="D406" s="65"/>
      <c r="E406" s="66"/>
      <c r="F406" s="65"/>
      <c r="G406" s="67"/>
      <c r="H406" s="67"/>
    </row>
    <row r="407" ht="15.75" customHeight="1">
      <c r="A407" s="65"/>
      <c r="B407" s="65"/>
      <c r="C407" s="65"/>
      <c r="D407" s="65"/>
      <c r="E407" s="66"/>
      <c r="F407" s="65"/>
      <c r="G407" s="67"/>
      <c r="H407" s="67"/>
    </row>
    <row r="408" ht="15.75" customHeight="1">
      <c r="A408" s="65"/>
      <c r="B408" s="65"/>
      <c r="C408" s="65"/>
      <c r="D408" s="65"/>
      <c r="E408" s="66"/>
      <c r="F408" s="65"/>
      <c r="G408" s="67"/>
      <c r="H408" s="67"/>
    </row>
    <row r="409" ht="15.75" customHeight="1">
      <c r="A409" s="65"/>
      <c r="B409" s="65"/>
      <c r="C409" s="65"/>
      <c r="D409" s="65"/>
      <c r="E409" s="66"/>
      <c r="F409" s="65"/>
      <c r="G409" s="67"/>
      <c r="H409" s="67"/>
    </row>
    <row r="410" ht="15.75" customHeight="1">
      <c r="A410" s="65"/>
      <c r="B410" s="65"/>
      <c r="C410" s="65"/>
      <c r="D410" s="65"/>
      <c r="E410" s="66"/>
      <c r="F410" s="65"/>
      <c r="G410" s="67"/>
      <c r="H410" s="67"/>
    </row>
    <row r="411" ht="15.75" customHeight="1">
      <c r="A411" s="65"/>
      <c r="B411" s="65"/>
      <c r="C411" s="65"/>
      <c r="D411" s="65"/>
      <c r="E411" s="66"/>
      <c r="F411" s="65"/>
      <c r="G411" s="67"/>
      <c r="H411" s="67"/>
    </row>
    <row r="412" ht="15.75" customHeight="1">
      <c r="A412" s="65"/>
      <c r="B412" s="65"/>
      <c r="C412" s="65"/>
      <c r="D412" s="65"/>
      <c r="E412" s="66"/>
      <c r="F412" s="65"/>
      <c r="G412" s="67"/>
      <c r="H412" s="67"/>
    </row>
    <row r="413" ht="15.75" customHeight="1">
      <c r="A413" s="65"/>
      <c r="B413" s="65"/>
      <c r="C413" s="65"/>
      <c r="D413" s="65"/>
      <c r="E413" s="66"/>
      <c r="F413" s="65"/>
      <c r="G413" s="67"/>
      <c r="H413" s="67"/>
    </row>
    <row r="414" ht="15.75" customHeight="1">
      <c r="A414" s="65"/>
      <c r="B414" s="65"/>
      <c r="C414" s="65"/>
      <c r="D414" s="65"/>
      <c r="E414" s="66"/>
      <c r="F414" s="65"/>
      <c r="G414" s="67"/>
      <c r="H414" s="67"/>
    </row>
    <row r="415" ht="15.75" customHeight="1">
      <c r="A415" s="65"/>
      <c r="B415" s="65"/>
      <c r="C415" s="65"/>
      <c r="D415" s="65"/>
      <c r="E415" s="66"/>
      <c r="F415" s="65"/>
      <c r="G415" s="67"/>
      <c r="H415" s="67"/>
    </row>
    <row r="416" ht="15.75" customHeight="1">
      <c r="A416" s="65"/>
      <c r="B416" s="65"/>
      <c r="C416" s="65"/>
      <c r="D416" s="65"/>
      <c r="E416" s="66"/>
      <c r="F416" s="65"/>
      <c r="G416" s="67"/>
      <c r="H416" s="67"/>
    </row>
    <row r="417" ht="15.75" customHeight="1">
      <c r="A417" s="65"/>
      <c r="B417" s="65"/>
      <c r="C417" s="65"/>
      <c r="D417" s="65"/>
      <c r="E417" s="66"/>
      <c r="F417" s="65"/>
      <c r="G417" s="67"/>
      <c r="H417" s="67"/>
    </row>
    <row r="418" ht="15.75" customHeight="1">
      <c r="A418" s="65"/>
      <c r="B418" s="65"/>
      <c r="C418" s="65"/>
      <c r="D418" s="65"/>
      <c r="E418" s="66"/>
      <c r="F418" s="65"/>
      <c r="G418" s="67"/>
      <c r="H418" s="67"/>
    </row>
    <row r="419" ht="15.75" customHeight="1">
      <c r="A419" s="65"/>
      <c r="B419" s="65"/>
      <c r="C419" s="65"/>
      <c r="D419" s="65"/>
      <c r="E419" s="66"/>
      <c r="F419" s="65"/>
      <c r="G419" s="67"/>
      <c r="H419" s="67"/>
    </row>
    <row r="420" ht="15.75" customHeight="1">
      <c r="A420" s="65"/>
      <c r="B420" s="65"/>
      <c r="C420" s="65"/>
      <c r="D420" s="65"/>
      <c r="E420" s="66"/>
      <c r="F420" s="65"/>
      <c r="G420" s="67"/>
      <c r="H420" s="67"/>
    </row>
    <row r="421" ht="15.75" customHeight="1">
      <c r="A421" s="65"/>
      <c r="B421" s="65"/>
      <c r="C421" s="65"/>
      <c r="D421" s="65"/>
      <c r="E421" s="66"/>
      <c r="F421" s="65"/>
      <c r="G421" s="67"/>
      <c r="H421" s="67"/>
    </row>
    <row r="422" ht="15.75" customHeight="1">
      <c r="A422" s="65"/>
      <c r="B422" s="65"/>
      <c r="C422" s="65"/>
      <c r="D422" s="65"/>
      <c r="E422" s="66"/>
      <c r="F422" s="65"/>
      <c r="G422" s="67"/>
      <c r="H422" s="67"/>
    </row>
    <row r="423" ht="15.75" customHeight="1">
      <c r="A423" s="65"/>
      <c r="B423" s="65"/>
      <c r="C423" s="65"/>
      <c r="D423" s="65"/>
      <c r="E423" s="66"/>
      <c r="F423" s="65"/>
      <c r="G423" s="67"/>
      <c r="H423" s="67"/>
    </row>
    <row r="424" ht="15.75" customHeight="1">
      <c r="A424" s="65"/>
      <c r="B424" s="65"/>
      <c r="C424" s="65"/>
      <c r="D424" s="65"/>
      <c r="E424" s="66"/>
      <c r="F424" s="65"/>
      <c r="G424" s="67"/>
      <c r="H424" s="67"/>
    </row>
    <row r="425" ht="15.75" customHeight="1">
      <c r="A425" s="65"/>
      <c r="B425" s="65"/>
      <c r="C425" s="65"/>
      <c r="D425" s="65"/>
      <c r="E425" s="66"/>
      <c r="F425" s="65"/>
      <c r="G425" s="67"/>
      <c r="H425" s="67"/>
    </row>
    <row r="426" ht="15.75" customHeight="1">
      <c r="A426" s="65"/>
      <c r="B426" s="65"/>
      <c r="C426" s="65"/>
      <c r="D426" s="65"/>
      <c r="E426" s="66"/>
      <c r="F426" s="65"/>
      <c r="G426" s="67"/>
      <c r="H426" s="67"/>
    </row>
    <row r="427" ht="15.75" customHeight="1">
      <c r="A427" s="65"/>
      <c r="B427" s="65"/>
      <c r="C427" s="65"/>
      <c r="D427" s="65"/>
      <c r="E427" s="66"/>
      <c r="F427" s="65"/>
      <c r="G427" s="67"/>
      <c r="H427" s="67"/>
    </row>
    <row r="428" ht="15.75" customHeight="1">
      <c r="A428" s="65"/>
      <c r="B428" s="65"/>
      <c r="C428" s="65"/>
      <c r="D428" s="65"/>
      <c r="E428" s="66"/>
      <c r="F428" s="65"/>
      <c r="G428" s="67"/>
      <c r="H428" s="67"/>
    </row>
    <row r="429" ht="15.75" customHeight="1">
      <c r="A429" s="65"/>
      <c r="B429" s="65"/>
      <c r="C429" s="65"/>
      <c r="D429" s="65"/>
      <c r="E429" s="66"/>
      <c r="F429" s="65"/>
      <c r="G429" s="67"/>
      <c r="H429" s="67"/>
    </row>
    <row r="430" ht="15.75" customHeight="1">
      <c r="A430" s="65"/>
      <c r="B430" s="65"/>
      <c r="C430" s="65"/>
      <c r="D430" s="65"/>
      <c r="E430" s="66"/>
      <c r="F430" s="65"/>
      <c r="G430" s="67"/>
      <c r="H430" s="67"/>
    </row>
    <row r="431" ht="15.75" customHeight="1">
      <c r="A431" s="65"/>
      <c r="B431" s="65"/>
      <c r="C431" s="65"/>
      <c r="D431" s="65"/>
      <c r="E431" s="66"/>
      <c r="F431" s="65"/>
      <c r="G431" s="67"/>
      <c r="H431" s="67"/>
    </row>
    <row r="432" ht="15.75" customHeight="1">
      <c r="A432" s="65"/>
      <c r="B432" s="65"/>
      <c r="C432" s="65"/>
      <c r="D432" s="65"/>
      <c r="E432" s="66"/>
      <c r="F432" s="65"/>
      <c r="G432" s="67"/>
      <c r="H432" s="67"/>
    </row>
    <row r="433" ht="15.75" customHeight="1">
      <c r="A433" s="65"/>
      <c r="B433" s="65"/>
      <c r="C433" s="65"/>
      <c r="D433" s="65"/>
      <c r="E433" s="66"/>
      <c r="F433" s="65"/>
      <c r="G433" s="67"/>
      <c r="H433" s="67"/>
    </row>
    <row r="434" ht="15.75" customHeight="1">
      <c r="A434" s="65"/>
      <c r="B434" s="65"/>
      <c r="C434" s="65"/>
      <c r="D434" s="65"/>
      <c r="E434" s="66"/>
      <c r="F434" s="65"/>
      <c r="G434" s="67"/>
      <c r="H434" s="67"/>
    </row>
    <row r="435" ht="15.75" customHeight="1">
      <c r="A435" s="65"/>
      <c r="B435" s="65"/>
      <c r="C435" s="65"/>
      <c r="D435" s="65"/>
      <c r="E435" s="66"/>
      <c r="F435" s="65"/>
      <c r="G435" s="67"/>
      <c r="H435" s="67"/>
    </row>
    <row r="436" ht="15.75" customHeight="1">
      <c r="A436" s="65"/>
      <c r="B436" s="65"/>
      <c r="C436" s="65"/>
      <c r="D436" s="65"/>
      <c r="E436" s="66"/>
      <c r="F436" s="65"/>
      <c r="G436" s="67"/>
      <c r="H436" s="67"/>
    </row>
    <row r="437" ht="15.75" customHeight="1">
      <c r="A437" s="65"/>
      <c r="B437" s="65"/>
      <c r="C437" s="65"/>
      <c r="D437" s="65"/>
      <c r="E437" s="66"/>
      <c r="F437" s="65"/>
      <c r="G437" s="67"/>
      <c r="H437" s="67"/>
    </row>
    <row r="438" ht="15.75" customHeight="1">
      <c r="A438" s="65"/>
      <c r="B438" s="65"/>
      <c r="C438" s="65"/>
      <c r="D438" s="65"/>
      <c r="E438" s="66"/>
      <c r="F438" s="65"/>
      <c r="G438" s="67"/>
      <c r="H438" s="67"/>
    </row>
    <row r="439" ht="15.75" customHeight="1">
      <c r="A439" s="65"/>
      <c r="B439" s="65"/>
      <c r="C439" s="65"/>
      <c r="D439" s="65"/>
      <c r="E439" s="66"/>
      <c r="F439" s="65"/>
      <c r="G439" s="67"/>
      <c r="H439" s="67"/>
    </row>
    <row r="440" ht="15.75" customHeight="1">
      <c r="A440" s="65"/>
      <c r="B440" s="65"/>
      <c r="C440" s="65"/>
      <c r="D440" s="65"/>
      <c r="E440" s="66"/>
      <c r="F440" s="65"/>
      <c r="G440" s="67"/>
      <c r="H440" s="67"/>
    </row>
    <row r="441" ht="15.75" customHeight="1">
      <c r="A441" s="65"/>
      <c r="B441" s="65"/>
      <c r="C441" s="65"/>
      <c r="D441" s="65"/>
      <c r="E441" s="66"/>
      <c r="F441" s="65"/>
      <c r="G441" s="67"/>
      <c r="H441" s="67"/>
    </row>
    <row r="442" ht="15.75" customHeight="1">
      <c r="A442" s="65"/>
      <c r="B442" s="65"/>
      <c r="C442" s="65"/>
      <c r="D442" s="65"/>
      <c r="E442" s="66"/>
      <c r="F442" s="65"/>
      <c r="G442" s="67"/>
      <c r="H442" s="67"/>
    </row>
    <row r="443" ht="15.75" customHeight="1">
      <c r="A443" s="65"/>
      <c r="B443" s="65"/>
      <c r="C443" s="65"/>
      <c r="D443" s="65"/>
      <c r="E443" s="66"/>
      <c r="F443" s="65"/>
      <c r="G443" s="67"/>
      <c r="H443" s="67"/>
    </row>
    <row r="444" ht="15.75" customHeight="1">
      <c r="A444" s="65"/>
      <c r="B444" s="65"/>
      <c r="C444" s="65"/>
      <c r="D444" s="65"/>
      <c r="E444" s="66"/>
      <c r="F444" s="65"/>
      <c r="G444" s="67"/>
      <c r="H444" s="67"/>
    </row>
    <row r="445" ht="15.75" customHeight="1">
      <c r="A445" s="65"/>
      <c r="B445" s="65"/>
      <c r="C445" s="65"/>
      <c r="D445" s="65"/>
      <c r="E445" s="66"/>
      <c r="F445" s="65"/>
      <c r="G445" s="67"/>
      <c r="H445" s="67"/>
    </row>
    <row r="446" ht="15.75" customHeight="1">
      <c r="A446" s="65"/>
      <c r="B446" s="65"/>
      <c r="C446" s="65"/>
      <c r="D446" s="65"/>
      <c r="E446" s="66"/>
      <c r="F446" s="65"/>
      <c r="G446" s="67"/>
      <c r="H446" s="67"/>
    </row>
    <row r="447" ht="15.75" customHeight="1">
      <c r="A447" s="65"/>
      <c r="B447" s="65"/>
      <c r="C447" s="65"/>
      <c r="D447" s="65"/>
      <c r="E447" s="66"/>
      <c r="F447" s="65"/>
      <c r="G447" s="67"/>
      <c r="H447" s="67"/>
    </row>
    <row r="448" ht="15.75" customHeight="1">
      <c r="A448" s="65"/>
      <c r="B448" s="65"/>
      <c r="C448" s="65"/>
      <c r="D448" s="65"/>
      <c r="E448" s="66"/>
      <c r="F448" s="65"/>
      <c r="G448" s="67"/>
      <c r="H448" s="67"/>
    </row>
    <row r="449" ht="15.75" customHeight="1">
      <c r="A449" s="65"/>
      <c r="B449" s="65"/>
      <c r="C449" s="65"/>
      <c r="D449" s="65"/>
      <c r="E449" s="66"/>
      <c r="F449" s="65"/>
      <c r="G449" s="67"/>
      <c r="H449" s="67"/>
    </row>
    <row r="450" ht="15.75" customHeight="1">
      <c r="A450" s="65"/>
      <c r="B450" s="65"/>
      <c r="C450" s="65"/>
      <c r="D450" s="65"/>
      <c r="E450" s="66"/>
      <c r="F450" s="65"/>
      <c r="G450" s="67"/>
      <c r="H450" s="67"/>
    </row>
    <row r="451" ht="15.75" customHeight="1">
      <c r="A451" s="65"/>
      <c r="B451" s="65"/>
      <c r="C451" s="65"/>
      <c r="D451" s="65"/>
      <c r="E451" s="66"/>
      <c r="F451" s="65"/>
      <c r="G451" s="67"/>
      <c r="H451" s="67"/>
    </row>
    <row r="452" ht="15.75" customHeight="1">
      <c r="A452" s="65"/>
      <c r="B452" s="65"/>
      <c r="C452" s="65"/>
      <c r="D452" s="65"/>
      <c r="E452" s="66"/>
      <c r="F452" s="65"/>
      <c r="G452" s="67"/>
      <c r="H452" s="67"/>
    </row>
    <row r="453" ht="15.75" customHeight="1">
      <c r="A453" s="65"/>
      <c r="B453" s="65"/>
      <c r="C453" s="65"/>
      <c r="D453" s="65"/>
      <c r="E453" s="66"/>
      <c r="F453" s="65"/>
      <c r="G453" s="67"/>
      <c r="H453" s="67"/>
    </row>
    <row r="454" ht="15.75" customHeight="1">
      <c r="A454" s="65"/>
      <c r="B454" s="65"/>
      <c r="C454" s="65"/>
      <c r="D454" s="65"/>
      <c r="E454" s="66"/>
      <c r="F454" s="65"/>
      <c r="G454" s="67"/>
      <c r="H454" s="67"/>
    </row>
    <row r="455" ht="15.75" customHeight="1">
      <c r="A455" s="65"/>
      <c r="B455" s="65"/>
      <c r="C455" s="65"/>
      <c r="D455" s="65"/>
      <c r="E455" s="66"/>
      <c r="F455" s="65"/>
      <c r="G455" s="67"/>
      <c r="H455" s="67"/>
    </row>
    <row r="456" ht="15.75" customHeight="1">
      <c r="A456" s="65"/>
      <c r="B456" s="65"/>
      <c r="C456" s="65"/>
      <c r="D456" s="65"/>
      <c r="E456" s="66"/>
      <c r="F456" s="65"/>
      <c r="G456" s="67"/>
      <c r="H456" s="67"/>
    </row>
    <row r="457" ht="15.75" customHeight="1">
      <c r="A457" s="65"/>
      <c r="B457" s="65"/>
      <c r="C457" s="65"/>
      <c r="D457" s="65"/>
      <c r="E457" s="66"/>
      <c r="F457" s="65"/>
      <c r="G457" s="67"/>
      <c r="H457" s="67"/>
    </row>
    <row r="458" ht="15.75" customHeight="1">
      <c r="A458" s="65"/>
      <c r="B458" s="65"/>
      <c r="C458" s="65"/>
      <c r="D458" s="65"/>
      <c r="E458" s="66"/>
      <c r="F458" s="65"/>
      <c r="G458" s="67"/>
      <c r="H458" s="67"/>
    </row>
    <row r="459" ht="15.75" customHeight="1">
      <c r="A459" s="65"/>
      <c r="B459" s="65"/>
      <c r="C459" s="65"/>
      <c r="D459" s="65"/>
      <c r="E459" s="66"/>
      <c r="F459" s="65"/>
      <c r="G459" s="67"/>
      <c r="H459" s="67"/>
    </row>
    <row r="460" ht="15.75" customHeight="1">
      <c r="A460" s="65"/>
      <c r="B460" s="65"/>
      <c r="C460" s="65"/>
      <c r="D460" s="65"/>
      <c r="E460" s="66"/>
      <c r="F460" s="65"/>
      <c r="G460" s="67"/>
      <c r="H460" s="67"/>
    </row>
    <row r="461" ht="15.75" customHeight="1">
      <c r="A461" s="65"/>
      <c r="B461" s="65"/>
      <c r="C461" s="65"/>
      <c r="D461" s="65"/>
      <c r="E461" s="66"/>
      <c r="F461" s="65"/>
      <c r="G461" s="67"/>
      <c r="H461" s="67"/>
    </row>
    <row r="462" ht="15.75" customHeight="1">
      <c r="A462" s="65"/>
      <c r="B462" s="65"/>
      <c r="C462" s="65"/>
      <c r="D462" s="65"/>
      <c r="E462" s="66"/>
      <c r="F462" s="65"/>
      <c r="G462" s="67"/>
      <c r="H462" s="67"/>
    </row>
    <row r="463" ht="15.75" customHeight="1">
      <c r="A463" s="65"/>
      <c r="B463" s="65"/>
      <c r="C463" s="65"/>
      <c r="D463" s="65"/>
      <c r="E463" s="66"/>
      <c r="F463" s="65"/>
      <c r="G463" s="67"/>
      <c r="H463" s="67"/>
    </row>
    <row r="464" ht="15.75" customHeight="1">
      <c r="A464" s="65"/>
      <c r="B464" s="65"/>
      <c r="C464" s="65"/>
      <c r="D464" s="65"/>
      <c r="E464" s="66"/>
      <c r="F464" s="65"/>
      <c r="G464" s="67"/>
      <c r="H464" s="67"/>
    </row>
    <row r="465" ht="15.75" customHeight="1">
      <c r="A465" s="65"/>
      <c r="B465" s="65"/>
      <c r="C465" s="65"/>
      <c r="D465" s="65"/>
      <c r="E465" s="66"/>
      <c r="F465" s="65"/>
      <c r="G465" s="67"/>
      <c r="H465" s="67"/>
    </row>
    <row r="466" ht="15.75" customHeight="1">
      <c r="A466" s="65"/>
      <c r="B466" s="65"/>
      <c r="C466" s="65"/>
      <c r="D466" s="65"/>
      <c r="E466" s="66"/>
      <c r="F466" s="65"/>
      <c r="G466" s="67"/>
      <c r="H466" s="67"/>
    </row>
    <row r="467" ht="15.75" customHeight="1">
      <c r="A467" s="65"/>
      <c r="B467" s="65"/>
      <c r="C467" s="65"/>
      <c r="D467" s="65"/>
      <c r="E467" s="66"/>
      <c r="F467" s="65"/>
      <c r="G467" s="67"/>
      <c r="H467" s="67"/>
    </row>
    <row r="468" ht="15.75" customHeight="1">
      <c r="A468" s="65"/>
      <c r="B468" s="65"/>
      <c r="C468" s="65"/>
      <c r="D468" s="65"/>
      <c r="E468" s="66"/>
      <c r="F468" s="65"/>
      <c r="G468" s="67"/>
      <c r="H468" s="67"/>
    </row>
    <row r="469" ht="15.75" customHeight="1">
      <c r="A469" s="65"/>
      <c r="B469" s="65"/>
      <c r="C469" s="65"/>
      <c r="D469" s="65"/>
      <c r="E469" s="66"/>
      <c r="F469" s="65"/>
      <c r="G469" s="67"/>
      <c r="H469" s="67"/>
    </row>
    <row r="470" ht="15.75" customHeight="1">
      <c r="A470" s="65"/>
      <c r="B470" s="65"/>
      <c r="C470" s="65"/>
      <c r="D470" s="65"/>
      <c r="E470" s="66"/>
      <c r="F470" s="65"/>
      <c r="G470" s="67"/>
      <c r="H470" s="67"/>
    </row>
    <row r="471" ht="15.75" customHeight="1">
      <c r="A471" s="65"/>
      <c r="B471" s="65"/>
      <c r="C471" s="65"/>
      <c r="D471" s="65"/>
      <c r="E471" s="66"/>
      <c r="F471" s="65"/>
      <c r="G471" s="67"/>
      <c r="H471" s="67"/>
    </row>
    <row r="472" ht="15.75" customHeight="1">
      <c r="A472" s="65"/>
      <c r="B472" s="65"/>
      <c r="C472" s="65"/>
      <c r="D472" s="65"/>
      <c r="E472" s="66"/>
      <c r="F472" s="65"/>
      <c r="G472" s="67"/>
      <c r="H472" s="67"/>
    </row>
    <row r="473" ht="15.75" customHeight="1">
      <c r="A473" s="65"/>
      <c r="B473" s="65"/>
      <c r="C473" s="65"/>
      <c r="D473" s="65"/>
      <c r="E473" s="66"/>
      <c r="F473" s="65"/>
      <c r="G473" s="67"/>
      <c r="H473" s="67"/>
    </row>
    <row r="474" ht="15.75" customHeight="1">
      <c r="A474" s="65"/>
      <c r="B474" s="65"/>
      <c r="C474" s="65"/>
      <c r="D474" s="65"/>
      <c r="E474" s="66"/>
      <c r="F474" s="65"/>
      <c r="G474" s="67"/>
      <c r="H474" s="67"/>
    </row>
    <row r="475" ht="15.75" customHeight="1">
      <c r="A475" s="65"/>
      <c r="B475" s="65"/>
      <c r="C475" s="65"/>
      <c r="D475" s="65"/>
      <c r="E475" s="66"/>
      <c r="F475" s="65"/>
      <c r="G475" s="67"/>
      <c r="H475" s="67"/>
    </row>
    <row r="476" ht="15.75" customHeight="1">
      <c r="A476" s="65"/>
      <c r="B476" s="65"/>
      <c r="C476" s="65"/>
      <c r="D476" s="65"/>
      <c r="E476" s="66"/>
      <c r="F476" s="65"/>
      <c r="G476" s="67"/>
      <c r="H476" s="67"/>
    </row>
    <row r="477" ht="15.75" customHeight="1">
      <c r="A477" s="65"/>
      <c r="B477" s="65"/>
      <c r="C477" s="65"/>
      <c r="D477" s="65"/>
      <c r="E477" s="66"/>
      <c r="F477" s="65"/>
      <c r="G477" s="67"/>
      <c r="H477" s="67"/>
    </row>
    <row r="478" ht="15.75" customHeight="1">
      <c r="A478" s="65"/>
      <c r="B478" s="65"/>
      <c r="C478" s="65"/>
      <c r="D478" s="65"/>
      <c r="E478" s="66"/>
      <c r="F478" s="65"/>
      <c r="G478" s="67"/>
      <c r="H478" s="67"/>
    </row>
    <row r="479" ht="15.75" customHeight="1">
      <c r="A479" s="65"/>
      <c r="B479" s="65"/>
      <c r="C479" s="65"/>
      <c r="D479" s="65"/>
      <c r="E479" s="66"/>
      <c r="F479" s="65"/>
      <c r="G479" s="67"/>
      <c r="H479" s="67"/>
    </row>
    <row r="480" ht="15.75" customHeight="1">
      <c r="A480" s="65"/>
      <c r="B480" s="65"/>
      <c r="C480" s="65"/>
      <c r="D480" s="65"/>
      <c r="E480" s="66"/>
      <c r="F480" s="65"/>
      <c r="G480" s="67"/>
      <c r="H480" s="67"/>
    </row>
    <row r="481" ht="15.75" customHeight="1">
      <c r="A481" s="65"/>
      <c r="B481" s="65"/>
      <c r="C481" s="65"/>
      <c r="D481" s="65"/>
      <c r="E481" s="66"/>
      <c r="F481" s="65"/>
      <c r="G481" s="67"/>
      <c r="H481" s="67"/>
    </row>
    <row r="482" ht="15.75" customHeight="1">
      <c r="A482" s="65"/>
      <c r="B482" s="65"/>
      <c r="C482" s="65"/>
      <c r="D482" s="65"/>
      <c r="E482" s="66"/>
      <c r="F482" s="65"/>
      <c r="G482" s="67"/>
      <c r="H482" s="67"/>
    </row>
    <row r="483" ht="15.75" customHeight="1">
      <c r="A483" s="65"/>
      <c r="B483" s="65"/>
      <c r="C483" s="65"/>
      <c r="D483" s="65"/>
      <c r="E483" s="66"/>
      <c r="F483" s="65"/>
      <c r="G483" s="67"/>
      <c r="H483" s="67"/>
    </row>
    <row r="484" ht="15.75" customHeight="1">
      <c r="A484" s="65"/>
      <c r="B484" s="65"/>
      <c r="C484" s="65"/>
      <c r="D484" s="65"/>
      <c r="E484" s="66"/>
      <c r="F484" s="65"/>
      <c r="G484" s="67"/>
      <c r="H484" s="67"/>
    </row>
    <row r="485" ht="15.75" customHeight="1">
      <c r="A485" s="65"/>
      <c r="B485" s="65"/>
      <c r="C485" s="65"/>
      <c r="D485" s="65"/>
      <c r="E485" s="66"/>
      <c r="F485" s="65"/>
      <c r="G485" s="67"/>
      <c r="H485" s="67"/>
    </row>
    <row r="486" ht="15.75" customHeight="1">
      <c r="A486" s="65"/>
      <c r="B486" s="65"/>
      <c r="C486" s="65"/>
      <c r="D486" s="65"/>
      <c r="E486" s="66"/>
      <c r="F486" s="65"/>
      <c r="G486" s="67"/>
      <c r="H486" s="67"/>
    </row>
    <row r="487" ht="15.75" customHeight="1">
      <c r="A487" s="65"/>
      <c r="B487" s="65"/>
      <c r="C487" s="65"/>
      <c r="D487" s="65"/>
      <c r="E487" s="66"/>
      <c r="F487" s="65"/>
      <c r="G487" s="67"/>
      <c r="H487" s="67"/>
    </row>
    <row r="488" ht="15.75" customHeight="1">
      <c r="A488" s="65"/>
      <c r="B488" s="65"/>
      <c r="C488" s="65"/>
      <c r="D488" s="65"/>
      <c r="E488" s="66"/>
      <c r="F488" s="65"/>
      <c r="G488" s="67"/>
      <c r="H488" s="67"/>
    </row>
    <row r="489" ht="15.75" customHeight="1">
      <c r="A489" s="65"/>
      <c r="B489" s="65"/>
      <c r="C489" s="65"/>
      <c r="D489" s="65"/>
      <c r="E489" s="66"/>
      <c r="F489" s="65"/>
      <c r="G489" s="67"/>
      <c r="H489" s="67"/>
    </row>
    <row r="490" ht="15.75" customHeight="1">
      <c r="A490" s="65"/>
      <c r="B490" s="65"/>
      <c r="C490" s="65"/>
      <c r="D490" s="65"/>
      <c r="E490" s="66"/>
      <c r="F490" s="65"/>
      <c r="G490" s="67"/>
      <c r="H490" s="67"/>
    </row>
    <row r="491" ht="15.75" customHeight="1">
      <c r="A491" s="65"/>
      <c r="B491" s="65"/>
      <c r="C491" s="65"/>
      <c r="D491" s="65"/>
      <c r="E491" s="66"/>
      <c r="F491" s="65"/>
      <c r="G491" s="67"/>
      <c r="H491" s="67"/>
    </row>
    <row r="492" ht="15.75" customHeight="1">
      <c r="A492" s="65"/>
      <c r="B492" s="65"/>
      <c r="C492" s="65"/>
      <c r="D492" s="65"/>
      <c r="E492" s="66"/>
      <c r="F492" s="65"/>
      <c r="G492" s="67"/>
      <c r="H492" s="67"/>
    </row>
    <row r="493" ht="15.75" customHeight="1">
      <c r="A493" s="65"/>
      <c r="B493" s="65"/>
      <c r="C493" s="65"/>
      <c r="D493" s="65"/>
      <c r="E493" s="66"/>
      <c r="F493" s="65"/>
      <c r="G493" s="67"/>
      <c r="H493" s="67"/>
    </row>
    <row r="494" ht="15.75" customHeight="1">
      <c r="A494" s="65"/>
      <c r="B494" s="65"/>
      <c r="C494" s="65"/>
      <c r="D494" s="65"/>
      <c r="E494" s="66"/>
      <c r="F494" s="65"/>
      <c r="G494" s="67"/>
      <c r="H494" s="67"/>
    </row>
    <row r="495" ht="15.75" customHeight="1">
      <c r="A495" s="65"/>
      <c r="B495" s="65"/>
      <c r="C495" s="65"/>
      <c r="D495" s="65"/>
      <c r="E495" s="66"/>
      <c r="F495" s="65"/>
      <c r="G495" s="67"/>
      <c r="H495" s="67"/>
    </row>
    <row r="496" ht="15.75" customHeight="1">
      <c r="A496" s="65"/>
      <c r="B496" s="65"/>
      <c r="C496" s="65"/>
      <c r="D496" s="65"/>
      <c r="E496" s="66"/>
      <c r="F496" s="65"/>
      <c r="G496" s="67"/>
      <c r="H496" s="67"/>
    </row>
    <row r="497" ht="15.75" customHeight="1">
      <c r="A497" s="65"/>
      <c r="B497" s="65"/>
      <c r="C497" s="65"/>
      <c r="D497" s="65"/>
      <c r="E497" s="66"/>
      <c r="F497" s="65"/>
      <c r="G497" s="67"/>
      <c r="H497" s="67"/>
    </row>
    <row r="498" ht="15.75" customHeight="1">
      <c r="A498" s="65"/>
      <c r="B498" s="65"/>
      <c r="C498" s="65"/>
      <c r="D498" s="65"/>
      <c r="E498" s="66"/>
      <c r="F498" s="65"/>
      <c r="G498" s="67"/>
      <c r="H498" s="67"/>
    </row>
    <row r="499" ht="15.75" customHeight="1">
      <c r="A499" s="65"/>
      <c r="B499" s="65"/>
      <c r="C499" s="65"/>
      <c r="D499" s="65"/>
      <c r="E499" s="66"/>
      <c r="F499" s="65"/>
      <c r="G499" s="67"/>
      <c r="H499" s="67"/>
    </row>
    <row r="500" ht="15.75" customHeight="1">
      <c r="A500" s="65"/>
      <c r="B500" s="65"/>
      <c r="C500" s="65"/>
      <c r="D500" s="65"/>
      <c r="E500" s="66"/>
      <c r="F500" s="65"/>
      <c r="G500" s="67"/>
      <c r="H500" s="67"/>
    </row>
    <row r="501" ht="15.75" customHeight="1">
      <c r="A501" s="65"/>
      <c r="B501" s="65"/>
      <c r="C501" s="65"/>
      <c r="D501" s="65"/>
      <c r="E501" s="66"/>
      <c r="F501" s="65"/>
      <c r="G501" s="67"/>
      <c r="H501" s="67"/>
    </row>
    <row r="502" ht="15.75" customHeight="1">
      <c r="A502" s="65"/>
      <c r="B502" s="65"/>
      <c r="C502" s="65"/>
      <c r="D502" s="65"/>
      <c r="E502" s="66"/>
      <c r="F502" s="65"/>
      <c r="G502" s="67"/>
      <c r="H502" s="67"/>
    </row>
    <row r="503" ht="15.75" customHeight="1">
      <c r="A503" s="65"/>
      <c r="B503" s="65"/>
      <c r="C503" s="65"/>
      <c r="D503" s="65"/>
      <c r="E503" s="66"/>
      <c r="F503" s="65"/>
      <c r="G503" s="67"/>
      <c r="H503" s="67"/>
    </row>
    <row r="504" ht="15.75" customHeight="1">
      <c r="A504" s="65"/>
      <c r="B504" s="65"/>
      <c r="C504" s="65"/>
      <c r="D504" s="65"/>
      <c r="E504" s="66"/>
      <c r="F504" s="65"/>
      <c r="G504" s="67"/>
      <c r="H504" s="67"/>
    </row>
    <row r="505" ht="15.75" customHeight="1">
      <c r="A505" s="65"/>
      <c r="B505" s="65"/>
      <c r="C505" s="65"/>
      <c r="D505" s="65"/>
      <c r="E505" s="66"/>
      <c r="F505" s="65"/>
      <c r="G505" s="67"/>
      <c r="H505" s="67"/>
    </row>
    <row r="506" ht="15.75" customHeight="1">
      <c r="A506" s="65"/>
      <c r="B506" s="65"/>
      <c r="C506" s="65"/>
      <c r="D506" s="65"/>
      <c r="E506" s="66"/>
      <c r="F506" s="65"/>
      <c r="G506" s="67"/>
      <c r="H506" s="67"/>
    </row>
    <row r="507" ht="15.75" customHeight="1">
      <c r="A507" s="65"/>
      <c r="B507" s="65"/>
      <c r="C507" s="65"/>
      <c r="D507" s="65"/>
      <c r="E507" s="66"/>
      <c r="F507" s="65"/>
      <c r="G507" s="67"/>
      <c r="H507" s="67"/>
    </row>
    <row r="508" ht="15.75" customHeight="1">
      <c r="A508" s="65"/>
      <c r="B508" s="65"/>
      <c r="C508" s="65"/>
      <c r="D508" s="65"/>
      <c r="E508" s="66"/>
      <c r="F508" s="65"/>
      <c r="G508" s="67"/>
      <c r="H508" s="67"/>
    </row>
    <row r="509" ht="15.75" customHeight="1">
      <c r="A509" s="65"/>
      <c r="B509" s="65"/>
      <c r="C509" s="65"/>
      <c r="D509" s="65"/>
      <c r="E509" s="66"/>
      <c r="F509" s="65"/>
      <c r="G509" s="67"/>
      <c r="H509" s="67"/>
    </row>
    <row r="510" ht="15.75" customHeight="1">
      <c r="A510" s="65"/>
      <c r="B510" s="65"/>
      <c r="C510" s="65"/>
      <c r="D510" s="65"/>
      <c r="E510" s="66"/>
      <c r="F510" s="65"/>
      <c r="G510" s="67"/>
      <c r="H510" s="67"/>
    </row>
    <row r="511" ht="15.75" customHeight="1">
      <c r="A511" s="65"/>
      <c r="B511" s="65"/>
      <c r="C511" s="65"/>
      <c r="D511" s="65"/>
      <c r="E511" s="66"/>
      <c r="F511" s="65"/>
      <c r="G511" s="67"/>
      <c r="H511" s="67"/>
    </row>
    <row r="512" ht="15.75" customHeight="1">
      <c r="A512" s="65"/>
      <c r="B512" s="65"/>
      <c r="C512" s="65"/>
      <c r="D512" s="65"/>
      <c r="E512" s="66"/>
      <c r="F512" s="65"/>
      <c r="G512" s="67"/>
      <c r="H512" s="67"/>
    </row>
    <row r="513" ht="15.75" customHeight="1">
      <c r="A513" s="65"/>
      <c r="B513" s="65"/>
      <c r="C513" s="65"/>
      <c r="D513" s="65"/>
      <c r="E513" s="66"/>
      <c r="F513" s="65"/>
      <c r="G513" s="67"/>
      <c r="H513" s="67"/>
    </row>
    <row r="514" ht="15.75" customHeight="1">
      <c r="A514" s="65"/>
      <c r="B514" s="65"/>
      <c r="C514" s="65"/>
      <c r="D514" s="65"/>
      <c r="E514" s="66"/>
      <c r="F514" s="65"/>
      <c r="G514" s="67"/>
      <c r="H514" s="67"/>
    </row>
    <row r="515" ht="15.75" customHeight="1">
      <c r="A515" s="65"/>
      <c r="B515" s="65"/>
      <c r="C515" s="65"/>
      <c r="D515" s="65"/>
      <c r="E515" s="66"/>
      <c r="F515" s="65"/>
      <c r="G515" s="67"/>
      <c r="H515" s="67"/>
    </row>
    <row r="516" ht="15.75" customHeight="1">
      <c r="A516" s="65"/>
      <c r="B516" s="65"/>
      <c r="C516" s="65"/>
      <c r="D516" s="65"/>
      <c r="E516" s="66"/>
      <c r="F516" s="65"/>
      <c r="G516" s="67"/>
      <c r="H516" s="67"/>
    </row>
    <row r="517" ht="15.75" customHeight="1">
      <c r="A517" s="65"/>
      <c r="B517" s="65"/>
      <c r="C517" s="65"/>
      <c r="D517" s="65"/>
      <c r="E517" s="66"/>
      <c r="F517" s="65"/>
      <c r="G517" s="67"/>
      <c r="H517" s="67"/>
    </row>
    <row r="518" ht="15.75" customHeight="1">
      <c r="A518" s="65"/>
      <c r="B518" s="65"/>
      <c r="C518" s="65"/>
      <c r="D518" s="65"/>
      <c r="E518" s="66"/>
      <c r="F518" s="65"/>
      <c r="G518" s="67"/>
      <c r="H518" s="67"/>
    </row>
    <row r="519" ht="15.75" customHeight="1">
      <c r="A519" s="65"/>
      <c r="B519" s="65"/>
      <c r="C519" s="65"/>
      <c r="D519" s="65"/>
      <c r="E519" s="66"/>
      <c r="F519" s="65"/>
      <c r="G519" s="67"/>
      <c r="H519" s="67"/>
    </row>
    <row r="520" ht="15.75" customHeight="1">
      <c r="A520" s="65"/>
      <c r="B520" s="65"/>
      <c r="C520" s="65"/>
      <c r="D520" s="65"/>
      <c r="E520" s="66"/>
      <c r="F520" s="65"/>
      <c r="G520" s="67"/>
      <c r="H520" s="67"/>
    </row>
    <row r="521" ht="15.75" customHeight="1">
      <c r="A521" s="65"/>
      <c r="B521" s="65"/>
      <c r="C521" s="65"/>
      <c r="D521" s="65"/>
      <c r="E521" s="66"/>
      <c r="F521" s="65"/>
      <c r="G521" s="67"/>
      <c r="H521" s="67"/>
    </row>
    <row r="522" ht="15.75" customHeight="1">
      <c r="A522" s="65"/>
      <c r="B522" s="65"/>
      <c r="C522" s="65"/>
      <c r="D522" s="65"/>
      <c r="E522" s="66"/>
      <c r="F522" s="65"/>
      <c r="G522" s="67"/>
      <c r="H522" s="67"/>
    </row>
    <row r="523" ht="15.75" customHeight="1">
      <c r="A523" s="65"/>
      <c r="B523" s="65"/>
      <c r="C523" s="65"/>
      <c r="D523" s="65"/>
      <c r="E523" s="66"/>
      <c r="F523" s="65"/>
      <c r="G523" s="67"/>
      <c r="H523" s="67"/>
    </row>
    <row r="524" ht="15.75" customHeight="1">
      <c r="A524" s="65"/>
      <c r="B524" s="65"/>
      <c r="C524" s="65"/>
      <c r="D524" s="65"/>
      <c r="E524" s="66"/>
      <c r="F524" s="65"/>
      <c r="G524" s="67"/>
      <c r="H524" s="67"/>
    </row>
    <row r="525" ht="15.75" customHeight="1">
      <c r="A525" s="65"/>
      <c r="B525" s="65"/>
      <c r="C525" s="65"/>
      <c r="D525" s="65"/>
      <c r="E525" s="66"/>
      <c r="F525" s="65"/>
      <c r="G525" s="67"/>
      <c r="H525" s="67"/>
    </row>
    <row r="526" ht="15.75" customHeight="1">
      <c r="A526" s="65"/>
      <c r="B526" s="65"/>
      <c r="C526" s="65"/>
      <c r="D526" s="65"/>
      <c r="E526" s="66"/>
      <c r="F526" s="65"/>
      <c r="G526" s="67"/>
      <c r="H526" s="67"/>
    </row>
    <row r="527" ht="15.75" customHeight="1">
      <c r="A527" s="65"/>
      <c r="B527" s="65"/>
      <c r="C527" s="65"/>
      <c r="D527" s="65"/>
      <c r="E527" s="66"/>
      <c r="F527" s="65"/>
      <c r="G527" s="67"/>
      <c r="H527" s="67"/>
    </row>
    <row r="528" ht="15.75" customHeight="1">
      <c r="A528" s="65"/>
      <c r="B528" s="65"/>
      <c r="C528" s="65"/>
      <c r="D528" s="65"/>
      <c r="E528" s="66"/>
      <c r="F528" s="65"/>
      <c r="G528" s="67"/>
      <c r="H528" s="67"/>
    </row>
    <row r="529" ht="15.75" customHeight="1">
      <c r="A529" s="65"/>
      <c r="B529" s="65"/>
      <c r="C529" s="65"/>
      <c r="D529" s="65"/>
      <c r="E529" s="66"/>
      <c r="F529" s="65"/>
      <c r="G529" s="67"/>
      <c r="H529" s="67"/>
    </row>
    <row r="530" ht="15.75" customHeight="1">
      <c r="A530" s="65"/>
      <c r="B530" s="65"/>
      <c r="C530" s="65"/>
      <c r="D530" s="65"/>
      <c r="E530" s="66"/>
      <c r="F530" s="65"/>
      <c r="G530" s="67"/>
      <c r="H530" s="67"/>
    </row>
    <row r="531" ht="15.75" customHeight="1">
      <c r="A531" s="65"/>
      <c r="B531" s="65"/>
      <c r="C531" s="65"/>
      <c r="D531" s="65"/>
      <c r="E531" s="66"/>
      <c r="F531" s="65"/>
      <c r="G531" s="67"/>
      <c r="H531" s="67"/>
    </row>
    <row r="532" ht="15.75" customHeight="1">
      <c r="A532" s="65"/>
      <c r="B532" s="65"/>
      <c r="C532" s="65"/>
      <c r="D532" s="65"/>
      <c r="E532" s="66"/>
      <c r="F532" s="65"/>
      <c r="G532" s="67"/>
      <c r="H532" s="67"/>
    </row>
    <row r="533" ht="15.75" customHeight="1">
      <c r="A533" s="65"/>
      <c r="B533" s="65"/>
      <c r="C533" s="65"/>
      <c r="D533" s="65"/>
      <c r="E533" s="66"/>
      <c r="F533" s="65"/>
      <c r="G533" s="67"/>
      <c r="H533" s="67"/>
    </row>
    <row r="534" ht="15.75" customHeight="1">
      <c r="A534" s="65"/>
      <c r="B534" s="65"/>
      <c r="C534" s="65"/>
      <c r="D534" s="65"/>
      <c r="E534" s="66"/>
      <c r="F534" s="65"/>
      <c r="G534" s="67"/>
      <c r="H534" s="67"/>
    </row>
    <row r="535" ht="15.75" customHeight="1">
      <c r="A535" s="65"/>
      <c r="B535" s="65"/>
      <c r="C535" s="65"/>
      <c r="D535" s="65"/>
      <c r="E535" s="66"/>
      <c r="F535" s="65"/>
      <c r="G535" s="67"/>
      <c r="H535" s="67"/>
    </row>
    <row r="536" ht="15.75" customHeight="1">
      <c r="A536" s="65"/>
      <c r="B536" s="65"/>
      <c r="C536" s="65"/>
      <c r="D536" s="65"/>
      <c r="E536" s="66"/>
      <c r="F536" s="65"/>
      <c r="G536" s="67"/>
      <c r="H536" s="67"/>
    </row>
    <row r="537" ht="15.75" customHeight="1">
      <c r="A537" s="65"/>
      <c r="B537" s="65"/>
      <c r="C537" s="65"/>
      <c r="D537" s="65"/>
      <c r="E537" s="66"/>
      <c r="F537" s="65"/>
      <c r="G537" s="67"/>
      <c r="H537" s="67"/>
    </row>
    <row r="538" ht="15.75" customHeight="1">
      <c r="A538" s="65"/>
      <c r="B538" s="65"/>
      <c r="C538" s="65"/>
      <c r="D538" s="65"/>
      <c r="E538" s="66"/>
      <c r="F538" s="65"/>
      <c r="G538" s="67"/>
      <c r="H538" s="67"/>
    </row>
    <row r="539" ht="15.75" customHeight="1">
      <c r="A539" s="65"/>
      <c r="B539" s="65"/>
      <c r="C539" s="65"/>
      <c r="D539" s="65"/>
      <c r="E539" s="66"/>
      <c r="F539" s="65"/>
      <c r="G539" s="67"/>
      <c r="H539" s="67"/>
    </row>
    <row r="540" ht="15.75" customHeight="1">
      <c r="A540" s="65"/>
      <c r="B540" s="65"/>
      <c r="C540" s="65"/>
      <c r="D540" s="65"/>
      <c r="E540" s="66"/>
      <c r="F540" s="65"/>
      <c r="G540" s="67"/>
      <c r="H540" s="67"/>
    </row>
    <row r="541" ht="15.75" customHeight="1">
      <c r="A541" s="65"/>
      <c r="B541" s="65"/>
      <c r="C541" s="65"/>
      <c r="D541" s="65"/>
      <c r="E541" s="66"/>
      <c r="F541" s="65"/>
      <c r="G541" s="67"/>
      <c r="H541" s="67"/>
    </row>
    <row r="542" ht="15.75" customHeight="1">
      <c r="A542" s="65"/>
      <c r="B542" s="65"/>
      <c r="C542" s="65"/>
      <c r="D542" s="65"/>
      <c r="E542" s="66"/>
      <c r="F542" s="65"/>
      <c r="G542" s="67"/>
      <c r="H542" s="67"/>
    </row>
    <row r="543" ht="15.75" customHeight="1">
      <c r="A543" s="65"/>
      <c r="B543" s="65"/>
      <c r="C543" s="65"/>
      <c r="D543" s="65"/>
      <c r="E543" s="66"/>
      <c r="F543" s="65"/>
      <c r="G543" s="67"/>
      <c r="H543" s="67"/>
    </row>
    <row r="544" ht="15.75" customHeight="1">
      <c r="A544" s="65"/>
      <c r="B544" s="65"/>
      <c r="C544" s="65"/>
      <c r="D544" s="65"/>
      <c r="E544" s="66"/>
      <c r="F544" s="65"/>
      <c r="G544" s="67"/>
      <c r="H544" s="67"/>
    </row>
    <row r="545" ht="15.75" customHeight="1">
      <c r="A545" s="65"/>
      <c r="B545" s="65"/>
      <c r="C545" s="65"/>
      <c r="D545" s="65"/>
      <c r="E545" s="66"/>
      <c r="F545" s="65"/>
      <c r="G545" s="67"/>
      <c r="H545" s="67"/>
    </row>
    <row r="546" ht="15.75" customHeight="1">
      <c r="A546" s="65"/>
      <c r="B546" s="65"/>
      <c r="C546" s="65"/>
      <c r="D546" s="65"/>
      <c r="E546" s="66"/>
      <c r="F546" s="65"/>
      <c r="G546" s="67"/>
      <c r="H546" s="67"/>
    </row>
    <row r="547" ht="15.75" customHeight="1">
      <c r="A547" s="65"/>
      <c r="B547" s="65"/>
      <c r="C547" s="65"/>
      <c r="D547" s="65"/>
      <c r="E547" s="66"/>
      <c r="F547" s="65"/>
      <c r="G547" s="67"/>
      <c r="H547" s="67"/>
    </row>
    <row r="548" ht="15.75" customHeight="1">
      <c r="A548" s="65"/>
      <c r="B548" s="65"/>
      <c r="C548" s="65"/>
      <c r="D548" s="65"/>
      <c r="E548" s="66"/>
      <c r="F548" s="65"/>
      <c r="G548" s="67"/>
      <c r="H548" s="67"/>
    </row>
    <row r="549" ht="15.75" customHeight="1">
      <c r="A549" s="65"/>
      <c r="B549" s="65"/>
      <c r="C549" s="65"/>
      <c r="D549" s="65"/>
      <c r="E549" s="66"/>
      <c r="F549" s="65"/>
      <c r="G549" s="67"/>
      <c r="H549" s="67"/>
    </row>
    <row r="550" ht="15.75" customHeight="1">
      <c r="A550" s="65"/>
      <c r="B550" s="65"/>
      <c r="C550" s="65"/>
      <c r="D550" s="65"/>
      <c r="E550" s="66"/>
      <c r="F550" s="65"/>
      <c r="G550" s="67"/>
      <c r="H550" s="67"/>
    </row>
    <row r="551" ht="15.75" customHeight="1">
      <c r="A551" s="65"/>
      <c r="B551" s="65"/>
      <c r="C551" s="65"/>
      <c r="D551" s="65"/>
      <c r="E551" s="66"/>
      <c r="F551" s="65"/>
      <c r="G551" s="67"/>
      <c r="H551" s="67"/>
    </row>
    <row r="552" ht="15.75" customHeight="1">
      <c r="A552" s="65"/>
      <c r="B552" s="65"/>
      <c r="C552" s="65"/>
      <c r="D552" s="65"/>
      <c r="E552" s="66"/>
      <c r="F552" s="65"/>
      <c r="G552" s="67"/>
      <c r="H552" s="67"/>
    </row>
    <row r="553" ht="15.75" customHeight="1">
      <c r="A553" s="65"/>
      <c r="B553" s="65"/>
      <c r="C553" s="65"/>
      <c r="D553" s="65"/>
      <c r="E553" s="66"/>
      <c r="F553" s="65"/>
      <c r="G553" s="67"/>
      <c r="H553" s="67"/>
    </row>
    <row r="554" ht="15.75" customHeight="1">
      <c r="A554" s="65"/>
      <c r="B554" s="65"/>
      <c r="C554" s="65"/>
      <c r="D554" s="65"/>
      <c r="E554" s="66"/>
      <c r="F554" s="65"/>
      <c r="G554" s="67"/>
      <c r="H554" s="67"/>
    </row>
    <row r="555" ht="15.75" customHeight="1">
      <c r="A555" s="65"/>
      <c r="B555" s="65"/>
      <c r="C555" s="65"/>
      <c r="D555" s="65"/>
      <c r="E555" s="66"/>
      <c r="F555" s="65"/>
      <c r="G555" s="67"/>
      <c r="H555" s="67"/>
    </row>
    <row r="556" ht="15.75" customHeight="1">
      <c r="A556" s="65"/>
      <c r="B556" s="65"/>
      <c r="C556" s="65"/>
      <c r="D556" s="65"/>
      <c r="E556" s="66"/>
      <c r="F556" s="65"/>
      <c r="G556" s="67"/>
      <c r="H556" s="67"/>
    </row>
    <row r="557" ht="15.75" customHeight="1">
      <c r="A557" s="65"/>
      <c r="B557" s="65"/>
      <c r="C557" s="65"/>
      <c r="D557" s="65"/>
      <c r="E557" s="66"/>
      <c r="F557" s="65"/>
      <c r="G557" s="67"/>
      <c r="H557" s="67"/>
    </row>
    <row r="558" ht="15.75" customHeight="1">
      <c r="A558" s="65"/>
      <c r="B558" s="65"/>
      <c r="C558" s="65"/>
      <c r="D558" s="65"/>
      <c r="E558" s="66"/>
      <c r="F558" s="65"/>
      <c r="G558" s="67"/>
      <c r="H558" s="67"/>
    </row>
    <row r="559" ht="15.75" customHeight="1">
      <c r="A559" s="65"/>
      <c r="B559" s="65"/>
      <c r="C559" s="65"/>
      <c r="D559" s="65"/>
      <c r="E559" s="66"/>
      <c r="F559" s="65"/>
      <c r="G559" s="67"/>
      <c r="H559" s="67"/>
    </row>
    <row r="560" ht="15.75" customHeight="1">
      <c r="A560" s="65"/>
      <c r="B560" s="65"/>
      <c r="C560" s="65"/>
      <c r="D560" s="65"/>
      <c r="E560" s="66"/>
      <c r="F560" s="65"/>
      <c r="G560" s="67"/>
      <c r="H560" s="67"/>
    </row>
    <row r="561" ht="15.75" customHeight="1">
      <c r="A561" s="65"/>
      <c r="B561" s="65"/>
      <c r="C561" s="65"/>
      <c r="D561" s="65"/>
      <c r="E561" s="66"/>
      <c r="F561" s="65"/>
      <c r="G561" s="67"/>
      <c r="H561" s="67"/>
    </row>
    <row r="562" ht="15.75" customHeight="1">
      <c r="A562" s="65"/>
      <c r="B562" s="65"/>
      <c r="C562" s="65"/>
      <c r="D562" s="65"/>
      <c r="E562" s="66"/>
      <c r="F562" s="65"/>
      <c r="G562" s="67"/>
      <c r="H562" s="67"/>
    </row>
    <row r="563" ht="15.75" customHeight="1">
      <c r="A563" s="65"/>
      <c r="B563" s="65"/>
      <c r="C563" s="65"/>
      <c r="D563" s="65"/>
      <c r="E563" s="66"/>
      <c r="F563" s="65"/>
      <c r="G563" s="67"/>
      <c r="H563" s="67"/>
    </row>
    <row r="564" ht="15.75" customHeight="1">
      <c r="A564" s="65"/>
      <c r="B564" s="65"/>
      <c r="C564" s="65"/>
      <c r="D564" s="65"/>
      <c r="E564" s="66"/>
      <c r="F564" s="65"/>
      <c r="G564" s="67"/>
      <c r="H564" s="67"/>
    </row>
    <row r="565" ht="15.75" customHeight="1">
      <c r="A565" s="65"/>
      <c r="B565" s="65"/>
      <c r="C565" s="65"/>
      <c r="D565" s="65"/>
      <c r="E565" s="66"/>
      <c r="F565" s="65"/>
      <c r="G565" s="67"/>
      <c r="H565" s="67"/>
    </row>
    <row r="566" ht="15.75" customHeight="1">
      <c r="A566" s="65"/>
      <c r="B566" s="65"/>
      <c r="C566" s="65"/>
      <c r="D566" s="65"/>
      <c r="E566" s="66"/>
      <c r="F566" s="65"/>
      <c r="G566" s="67"/>
      <c r="H566" s="67"/>
    </row>
    <row r="567" ht="15.75" customHeight="1">
      <c r="A567" s="65"/>
      <c r="B567" s="65"/>
      <c r="C567" s="65"/>
      <c r="D567" s="65"/>
      <c r="E567" s="66"/>
      <c r="F567" s="65"/>
      <c r="G567" s="67"/>
      <c r="H567" s="67"/>
    </row>
    <row r="568" ht="15.75" customHeight="1">
      <c r="A568" s="65"/>
      <c r="B568" s="65"/>
      <c r="C568" s="65"/>
      <c r="D568" s="65"/>
      <c r="E568" s="66"/>
      <c r="F568" s="65"/>
      <c r="G568" s="67"/>
      <c r="H568" s="67"/>
    </row>
    <row r="569" ht="15.75" customHeight="1">
      <c r="A569" s="65"/>
      <c r="B569" s="65"/>
      <c r="C569" s="65"/>
      <c r="D569" s="65"/>
      <c r="E569" s="66"/>
      <c r="F569" s="65"/>
      <c r="G569" s="67"/>
      <c r="H569" s="67"/>
    </row>
    <row r="570" ht="15.75" customHeight="1">
      <c r="A570" s="65"/>
      <c r="B570" s="65"/>
      <c r="C570" s="65"/>
      <c r="D570" s="65"/>
      <c r="E570" s="66"/>
      <c r="F570" s="65"/>
      <c r="G570" s="67"/>
      <c r="H570" s="67"/>
    </row>
    <row r="571" ht="15.75" customHeight="1">
      <c r="A571" s="65"/>
      <c r="B571" s="65"/>
      <c r="C571" s="65"/>
      <c r="D571" s="65"/>
      <c r="E571" s="66"/>
      <c r="F571" s="65"/>
      <c r="G571" s="67"/>
      <c r="H571" s="67"/>
    </row>
    <row r="572" ht="15.75" customHeight="1">
      <c r="A572" s="65"/>
      <c r="B572" s="65"/>
      <c r="C572" s="65"/>
      <c r="D572" s="65"/>
      <c r="E572" s="66"/>
      <c r="F572" s="65"/>
      <c r="G572" s="67"/>
      <c r="H572" s="67"/>
    </row>
    <row r="573" ht="15.75" customHeight="1">
      <c r="A573" s="65"/>
      <c r="B573" s="65"/>
      <c r="C573" s="65"/>
      <c r="D573" s="65"/>
      <c r="E573" s="66"/>
      <c r="F573" s="65"/>
      <c r="G573" s="67"/>
      <c r="H573" s="67"/>
    </row>
    <row r="574" ht="15.75" customHeight="1">
      <c r="A574" s="65"/>
      <c r="B574" s="65"/>
      <c r="C574" s="65"/>
      <c r="D574" s="65"/>
      <c r="E574" s="66"/>
      <c r="F574" s="65"/>
      <c r="G574" s="67"/>
      <c r="H574" s="67"/>
    </row>
    <row r="575" ht="15.75" customHeight="1">
      <c r="A575" s="65"/>
      <c r="B575" s="65"/>
      <c r="C575" s="65"/>
      <c r="D575" s="65"/>
      <c r="E575" s="66"/>
      <c r="F575" s="65"/>
      <c r="G575" s="67"/>
      <c r="H575" s="67"/>
    </row>
    <row r="576" ht="15.75" customHeight="1">
      <c r="A576" s="65"/>
      <c r="B576" s="65"/>
      <c r="C576" s="65"/>
      <c r="D576" s="65"/>
      <c r="E576" s="66"/>
      <c r="F576" s="65"/>
      <c r="G576" s="67"/>
      <c r="H576" s="67"/>
    </row>
    <row r="577" ht="15.75" customHeight="1">
      <c r="A577" s="65"/>
      <c r="B577" s="65"/>
      <c r="C577" s="65"/>
      <c r="D577" s="65"/>
      <c r="E577" s="66"/>
      <c r="F577" s="65"/>
      <c r="G577" s="67"/>
      <c r="H577" s="67"/>
    </row>
    <row r="578" ht="15.75" customHeight="1">
      <c r="A578" s="65"/>
      <c r="B578" s="65"/>
      <c r="C578" s="65"/>
      <c r="D578" s="65"/>
      <c r="E578" s="66"/>
      <c r="F578" s="65"/>
      <c r="G578" s="67"/>
      <c r="H578" s="67"/>
    </row>
    <row r="579" ht="15.75" customHeight="1">
      <c r="A579" s="65"/>
      <c r="B579" s="65"/>
      <c r="C579" s="65"/>
      <c r="D579" s="65"/>
      <c r="E579" s="66"/>
      <c r="F579" s="65"/>
      <c r="G579" s="67"/>
      <c r="H579" s="67"/>
    </row>
    <row r="580" ht="15.75" customHeight="1">
      <c r="A580" s="65"/>
      <c r="B580" s="65"/>
      <c r="C580" s="65"/>
      <c r="D580" s="65"/>
      <c r="E580" s="66"/>
      <c r="F580" s="65"/>
      <c r="G580" s="67"/>
      <c r="H580" s="67"/>
    </row>
    <row r="581" ht="15.75" customHeight="1">
      <c r="A581" s="65"/>
      <c r="B581" s="65"/>
      <c r="C581" s="65"/>
      <c r="D581" s="65"/>
      <c r="E581" s="66"/>
      <c r="F581" s="65"/>
      <c r="G581" s="67"/>
      <c r="H581" s="67"/>
    </row>
    <row r="582" ht="15.75" customHeight="1">
      <c r="A582" s="65"/>
      <c r="B582" s="65"/>
      <c r="C582" s="65"/>
      <c r="D582" s="65"/>
      <c r="E582" s="66"/>
      <c r="F582" s="65"/>
      <c r="G582" s="67"/>
      <c r="H582" s="67"/>
    </row>
    <row r="583" ht="15.75" customHeight="1">
      <c r="A583" s="65"/>
      <c r="B583" s="65"/>
      <c r="C583" s="65"/>
      <c r="D583" s="65"/>
      <c r="E583" s="66"/>
      <c r="F583" s="65"/>
      <c r="G583" s="67"/>
      <c r="H583" s="67"/>
    </row>
    <row r="584" ht="15.75" customHeight="1">
      <c r="A584" s="65"/>
      <c r="B584" s="65"/>
      <c r="C584" s="65"/>
      <c r="D584" s="65"/>
      <c r="E584" s="66"/>
      <c r="F584" s="65"/>
      <c r="G584" s="67"/>
      <c r="H584" s="67"/>
    </row>
    <row r="585" ht="15.75" customHeight="1">
      <c r="A585" s="65"/>
      <c r="B585" s="65"/>
      <c r="C585" s="65"/>
      <c r="D585" s="65"/>
      <c r="E585" s="66"/>
      <c r="F585" s="65"/>
      <c r="G585" s="67"/>
      <c r="H585" s="67"/>
    </row>
    <row r="586" ht="15.75" customHeight="1">
      <c r="A586" s="65"/>
      <c r="B586" s="65"/>
      <c r="C586" s="65"/>
      <c r="D586" s="65"/>
      <c r="E586" s="66"/>
      <c r="F586" s="65"/>
      <c r="G586" s="67"/>
      <c r="H586" s="67"/>
    </row>
    <row r="587" ht="15.75" customHeight="1">
      <c r="A587" s="65"/>
      <c r="B587" s="65"/>
      <c r="C587" s="65"/>
      <c r="D587" s="65"/>
      <c r="E587" s="66"/>
      <c r="F587" s="65"/>
      <c r="G587" s="67"/>
      <c r="H587" s="67"/>
    </row>
    <row r="588" ht="15.75" customHeight="1">
      <c r="A588" s="65"/>
      <c r="B588" s="65"/>
      <c r="C588" s="65"/>
      <c r="D588" s="65"/>
      <c r="E588" s="66"/>
      <c r="F588" s="65"/>
      <c r="G588" s="67"/>
      <c r="H588" s="67"/>
    </row>
    <row r="589" ht="15.75" customHeight="1">
      <c r="A589" s="65"/>
      <c r="B589" s="65"/>
      <c r="C589" s="65"/>
      <c r="D589" s="65"/>
      <c r="E589" s="66"/>
      <c r="F589" s="65"/>
      <c r="G589" s="67"/>
      <c r="H589" s="67"/>
    </row>
    <row r="590" ht="15.75" customHeight="1">
      <c r="A590" s="65"/>
      <c r="B590" s="65"/>
      <c r="C590" s="65"/>
      <c r="D590" s="65"/>
      <c r="E590" s="66"/>
      <c r="F590" s="65"/>
      <c r="G590" s="67"/>
      <c r="H590" s="67"/>
    </row>
    <row r="591" ht="15.75" customHeight="1">
      <c r="A591" s="65"/>
      <c r="B591" s="65"/>
      <c r="C591" s="65"/>
      <c r="D591" s="65"/>
      <c r="E591" s="66"/>
      <c r="F591" s="65"/>
      <c r="G591" s="67"/>
      <c r="H591" s="67"/>
    </row>
    <row r="592" ht="15.75" customHeight="1">
      <c r="A592" s="65"/>
      <c r="B592" s="65"/>
      <c r="C592" s="65"/>
      <c r="D592" s="65"/>
      <c r="E592" s="66"/>
      <c r="F592" s="65"/>
      <c r="G592" s="67"/>
      <c r="H592" s="67"/>
    </row>
    <row r="593" ht="15.75" customHeight="1">
      <c r="A593" s="65"/>
      <c r="B593" s="65"/>
      <c r="C593" s="65"/>
      <c r="D593" s="65"/>
      <c r="E593" s="66"/>
      <c r="F593" s="65"/>
      <c r="G593" s="67"/>
      <c r="H593" s="67"/>
    </row>
    <row r="594" ht="15.75" customHeight="1">
      <c r="A594" s="65"/>
      <c r="B594" s="65"/>
      <c r="C594" s="65"/>
      <c r="D594" s="65"/>
      <c r="E594" s="66"/>
      <c r="F594" s="65"/>
      <c r="G594" s="67"/>
      <c r="H594" s="67"/>
    </row>
    <row r="595" ht="15.75" customHeight="1">
      <c r="A595" s="65"/>
      <c r="B595" s="65"/>
      <c r="C595" s="65"/>
      <c r="D595" s="65"/>
      <c r="E595" s="66"/>
      <c r="F595" s="65"/>
      <c r="G595" s="67"/>
      <c r="H595" s="67"/>
    </row>
    <row r="596" ht="15.75" customHeight="1">
      <c r="A596" s="65"/>
      <c r="B596" s="65"/>
      <c r="C596" s="65"/>
      <c r="D596" s="65"/>
      <c r="E596" s="66"/>
      <c r="F596" s="65"/>
      <c r="G596" s="67"/>
      <c r="H596" s="67"/>
    </row>
    <row r="597" ht="15.75" customHeight="1">
      <c r="A597" s="65"/>
      <c r="B597" s="65"/>
      <c r="C597" s="65"/>
      <c r="D597" s="65"/>
      <c r="E597" s="66"/>
      <c r="F597" s="65"/>
      <c r="G597" s="67"/>
      <c r="H597" s="67"/>
    </row>
    <row r="598" ht="15.75" customHeight="1">
      <c r="A598" s="65"/>
      <c r="B598" s="65"/>
      <c r="C598" s="65"/>
      <c r="D598" s="65"/>
      <c r="E598" s="66"/>
      <c r="F598" s="65"/>
      <c r="G598" s="67"/>
      <c r="H598" s="67"/>
    </row>
    <row r="599" ht="15.75" customHeight="1">
      <c r="A599" s="65"/>
      <c r="B599" s="65"/>
      <c r="C599" s="65"/>
      <c r="D599" s="65"/>
      <c r="E599" s="66"/>
      <c r="F599" s="65"/>
      <c r="G599" s="67"/>
      <c r="H599" s="67"/>
    </row>
    <row r="600" ht="15.75" customHeight="1">
      <c r="A600" s="65"/>
      <c r="B600" s="65"/>
      <c r="C600" s="65"/>
      <c r="D600" s="65"/>
      <c r="E600" s="66"/>
      <c r="F600" s="65"/>
      <c r="G600" s="67"/>
      <c r="H600" s="67"/>
    </row>
    <row r="601" ht="15.75" customHeight="1">
      <c r="A601" s="65"/>
      <c r="B601" s="65"/>
      <c r="C601" s="65"/>
      <c r="D601" s="65"/>
      <c r="E601" s="66"/>
      <c r="F601" s="65"/>
      <c r="G601" s="67"/>
      <c r="H601" s="67"/>
    </row>
    <row r="602" ht="15.75" customHeight="1">
      <c r="A602" s="65"/>
      <c r="B602" s="65"/>
      <c r="C602" s="65"/>
      <c r="D602" s="65"/>
      <c r="E602" s="66"/>
      <c r="F602" s="65"/>
      <c r="G602" s="67"/>
      <c r="H602" s="67"/>
    </row>
    <row r="603" ht="15.75" customHeight="1">
      <c r="A603" s="65"/>
      <c r="B603" s="65"/>
      <c r="C603" s="65"/>
      <c r="D603" s="65"/>
      <c r="E603" s="66"/>
      <c r="F603" s="65"/>
      <c r="G603" s="67"/>
      <c r="H603" s="67"/>
    </row>
    <row r="604" ht="15.75" customHeight="1">
      <c r="A604" s="65"/>
      <c r="B604" s="65"/>
      <c r="C604" s="65"/>
      <c r="D604" s="65"/>
      <c r="E604" s="66"/>
      <c r="F604" s="65"/>
      <c r="G604" s="67"/>
      <c r="H604" s="67"/>
    </row>
    <row r="605" ht="15.75" customHeight="1">
      <c r="A605" s="65"/>
      <c r="B605" s="65"/>
      <c r="C605" s="65"/>
      <c r="D605" s="65"/>
      <c r="E605" s="66"/>
      <c r="F605" s="65"/>
      <c r="G605" s="67"/>
      <c r="H605" s="67"/>
    </row>
    <row r="606" ht="15.75" customHeight="1">
      <c r="A606" s="65"/>
      <c r="B606" s="65"/>
      <c r="C606" s="65"/>
      <c r="D606" s="65"/>
      <c r="E606" s="66"/>
      <c r="F606" s="65"/>
      <c r="G606" s="67"/>
      <c r="H606" s="67"/>
    </row>
    <row r="607" ht="15.75" customHeight="1">
      <c r="A607" s="65"/>
      <c r="B607" s="65"/>
      <c r="C607" s="65"/>
      <c r="D607" s="65"/>
      <c r="E607" s="66"/>
      <c r="F607" s="65"/>
      <c r="G607" s="67"/>
      <c r="H607" s="67"/>
    </row>
    <row r="608" ht="15.75" customHeight="1">
      <c r="A608" s="65"/>
      <c r="B608" s="65"/>
      <c r="C608" s="65"/>
      <c r="D608" s="65"/>
      <c r="E608" s="66"/>
      <c r="F608" s="65"/>
      <c r="G608" s="67"/>
      <c r="H608" s="67"/>
    </row>
    <row r="609" ht="15.75" customHeight="1">
      <c r="A609" s="65"/>
      <c r="B609" s="65"/>
      <c r="C609" s="65"/>
      <c r="D609" s="65"/>
      <c r="E609" s="66"/>
      <c r="F609" s="65"/>
      <c r="G609" s="67"/>
      <c r="H609" s="67"/>
    </row>
    <row r="610" ht="15.75" customHeight="1">
      <c r="A610" s="65"/>
      <c r="B610" s="65"/>
      <c r="C610" s="65"/>
      <c r="D610" s="65"/>
      <c r="E610" s="66"/>
      <c r="F610" s="65"/>
      <c r="G610" s="67"/>
      <c r="H610" s="67"/>
    </row>
    <row r="611" ht="15.75" customHeight="1">
      <c r="A611" s="65"/>
      <c r="B611" s="65"/>
      <c r="C611" s="65"/>
      <c r="D611" s="65"/>
      <c r="E611" s="66"/>
      <c r="F611" s="65"/>
      <c r="G611" s="67"/>
      <c r="H611" s="67"/>
    </row>
    <row r="612" ht="15.75" customHeight="1">
      <c r="A612" s="65"/>
      <c r="B612" s="65"/>
      <c r="C612" s="65"/>
      <c r="D612" s="65"/>
      <c r="E612" s="66"/>
      <c r="F612" s="65"/>
      <c r="G612" s="67"/>
      <c r="H612" s="67"/>
    </row>
    <row r="613" ht="15.75" customHeight="1">
      <c r="A613" s="65"/>
      <c r="B613" s="65"/>
      <c r="C613" s="65"/>
      <c r="D613" s="65"/>
      <c r="E613" s="66"/>
      <c r="F613" s="65"/>
      <c r="G613" s="67"/>
      <c r="H613" s="67"/>
    </row>
    <row r="614" ht="15.75" customHeight="1">
      <c r="A614" s="65"/>
      <c r="B614" s="65"/>
      <c r="C614" s="65"/>
      <c r="D614" s="65"/>
      <c r="E614" s="66"/>
      <c r="F614" s="65"/>
      <c r="G614" s="67"/>
      <c r="H614" s="67"/>
    </row>
    <row r="615" ht="15.75" customHeight="1">
      <c r="A615" s="65"/>
      <c r="B615" s="65"/>
      <c r="C615" s="65"/>
      <c r="D615" s="65"/>
      <c r="E615" s="66"/>
      <c r="F615" s="65"/>
      <c r="G615" s="67"/>
      <c r="H615" s="67"/>
    </row>
    <row r="616" ht="15.75" customHeight="1">
      <c r="A616" s="65"/>
      <c r="B616" s="65"/>
      <c r="C616" s="65"/>
      <c r="D616" s="65"/>
      <c r="E616" s="66"/>
      <c r="F616" s="65"/>
      <c r="G616" s="67"/>
      <c r="H616" s="67"/>
    </row>
    <row r="617" ht="15.75" customHeight="1">
      <c r="A617" s="65"/>
      <c r="B617" s="65"/>
      <c r="C617" s="65"/>
      <c r="D617" s="65"/>
      <c r="E617" s="66"/>
      <c r="F617" s="65"/>
      <c r="G617" s="67"/>
      <c r="H617" s="67"/>
    </row>
    <row r="618" ht="15.75" customHeight="1">
      <c r="A618" s="65"/>
      <c r="B618" s="65"/>
      <c r="C618" s="65"/>
      <c r="D618" s="65"/>
      <c r="E618" s="66"/>
      <c r="F618" s="65"/>
      <c r="G618" s="67"/>
      <c r="H618" s="67"/>
    </row>
    <row r="619" ht="15.75" customHeight="1">
      <c r="A619" s="65"/>
      <c r="B619" s="65"/>
      <c r="C619" s="65"/>
      <c r="D619" s="65"/>
      <c r="E619" s="66"/>
      <c r="F619" s="65"/>
      <c r="G619" s="67"/>
      <c r="H619" s="67"/>
    </row>
    <row r="620" ht="15.75" customHeight="1">
      <c r="A620" s="65"/>
      <c r="B620" s="65"/>
      <c r="C620" s="65"/>
      <c r="D620" s="65"/>
      <c r="E620" s="66"/>
      <c r="F620" s="65"/>
      <c r="G620" s="67"/>
      <c r="H620" s="67"/>
    </row>
    <row r="621" ht="15.75" customHeight="1">
      <c r="A621" s="65"/>
      <c r="B621" s="65"/>
      <c r="C621" s="65"/>
      <c r="D621" s="65"/>
      <c r="E621" s="66"/>
      <c r="F621" s="65"/>
      <c r="G621" s="67"/>
      <c r="H621" s="67"/>
    </row>
    <row r="622" ht="15.75" customHeight="1">
      <c r="A622" s="65"/>
      <c r="B622" s="65"/>
      <c r="C622" s="65"/>
      <c r="D622" s="65"/>
      <c r="E622" s="66"/>
      <c r="F622" s="65"/>
      <c r="G622" s="67"/>
      <c r="H622" s="67"/>
    </row>
    <row r="623" ht="15.75" customHeight="1">
      <c r="A623" s="65"/>
      <c r="B623" s="65"/>
      <c r="C623" s="65"/>
      <c r="D623" s="65"/>
      <c r="E623" s="66"/>
      <c r="F623" s="65"/>
      <c r="G623" s="67"/>
      <c r="H623" s="67"/>
    </row>
    <row r="624" ht="15.75" customHeight="1">
      <c r="A624" s="65"/>
      <c r="B624" s="65"/>
      <c r="C624" s="65"/>
      <c r="D624" s="65"/>
      <c r="E624" s="66"/>
      <c r="F624" s="65"/>
      <c r="G624" s="67"/>
      <c r="H624" s="67"/>
    </row>
    <row r="625" ht="15.75" customHeight="1">
      <c r="A625" s="65"/>
      <c r="B625" s="65"/>
      <c r="C625" s="65"/>
      <c r="D625" s="65"/>
      <c r="E625" s="66"/>
      <c r="F625" s="65"/>
      <c r="G625" s="67"/>
      <c r="H625" s="67"/>
    </row>
    <row r="626" ht="15.75" customHeight="1">
      <c r="A626" s="65"/>
      <c r="B626" s="65"/>
      <c r="C626" s="65"/>
      <c r="D626" s="65"/>
      <c r="E626" s="66"/>
      <c r="F626" s="65"/>
      <c r="G626" s="67"/>
      <c r="H626" s="67"/>
    </row>
    <row r="627" ht="15.75" customHeight="1">
      <c r="A627" s="65"/>
      <c r="B627" s="65"/>
      <c r="C627" s="65"/>
      <c r="D627" s="65"/>
      <c r="E627" s="66"/>
      <c r="F627" s="65"/>
      <c r="G627" s="67"/>
      <c r="H627" s="67"/>
    </row>
    <row r="628" ht="15.75" customHeight="1">
      <c r="A628" s="65"/>
      <c r="B628" s="65"/>
      <c r="C628" s="65"/>
      <c r="D628" s="65"/>
      <c r="E628" s="66"/>
      <c r="F628" s="65"/>
      <c r="G628" s="67"/>
      <c r="H628" s="67"/>
    </row>
    <row r="629" ht="15.75" customHeight="1">
      <c r="A629" s="65"/>
      <c r="B629" s="65"/>
      <c r="C629" s="65"/>
      <c r="D629" s="65"/>
      <c r="E629" s="66"/>
      <c r="F629" s="65"/>
      <c r="G629" s="67"/>
      <c r="H629" s="67"/>
    </row>
    <row r="630" ht="15.75" customHeight="1">
      <c r="A630" s="65"/>
      <c r="B630" s="65"/>
      <c r="C630" s="65"/>
      <c r="D630" s="65"/>
      <c r="E630" s="66"/>
      <c r="F630" s="65"/>
      <c r="G630" s="67"/>
      <c r="H630" s="67"/>
    </row>
    <row r="631" ht="15.75" customHeight="1">
      <c r="A631" s="65"/>
      <c r="B631" s="65"/>
      <c r="C631" s="65"/>
      <c r="D631" s="65"/>
      <c r="E631" s="66"/>
      <c r="F631" s="65"/>
      <c r="G631" s="67"/>
      <c r="H631" s="67"/>
    </row>
    <row r="632" ht="15.75" customHeight="1">
      <c r="A632" s="65"/>
      <c r="B632" s="65"/>
      <c r="C632" s="65"/>
      <c r="D632" s="65"/>
      <c r="E632" s="66"/>
      <c r="F632" s="65"/>
      <c r="G632" s="67"/>
      <c r="H632" s="67"/>
    </row>
    <row r="633" ht="15.75" customHeight="1">
      <c r="A633" s="65"/>
      <c r="B633" s="65"/>
      <c r="C633" s="65"/>
      <c r="D633" s="65"/>
      <c r="E633" s="66"/>
      <c r="F633" s="65"/>
      <c r="G633" s="67"/>
      <c r="H633" s="67"/>
    </row>
    <row r="634" ht="15.75" customHeight="1">
      <c r="A634" s="65"/>
      <c r="B634" s="65"/>
      <c r="C634" s="65"/>
      <c r="D634" s="65"/>
      <c r="E634" s="66"/>
      <c r="F634" s="65"/>
      <c r="G634" s="67"/>
      <c r="H634" s="67"/>
    </row>
    <row r="635" ht="15.75" customHeight="1">
      <c r="A635" s="65"/>
      <c r="B635" s="65"/>
      <c r="C635" s="65"/>
      <c r="D635" s="65"/>
      <c r="E635" s="66"/>
      <c r="F635" s="65"/>
      <c r="G635" s="67"/>
      <c r="H635" s="67"/>
    </row>
    <row r="636" ht="15.75" customHeight="1">
      <c r="A636" s="65"/>
      <c r="B636" s="65"/>
      <c r="C636" s="65"/>
      <c r="D636" s="65"/>
      <c r="E636" s="66"/>
      <c r="F636" s="65"/>
      <c r="G636" s="67"/>
      <c r="H636" s="67"/>
    </row>
    <row r="637" ht="15.75" customHeight="1">
      <c r="A637" s="65"/>
      <c r="B637" s="65"/>
      <c r="C637" s="65"/>
      <c r="D637" s="65"/>
      <c r="E637" s="66"/>
      <c r="F637" s="65"/>
      <c r="G637" s="67"/>
      <c r="H637" s="67"/>
    </row>
    <row r="638" ht="15.75" customHeight="1">
      <c r="A638" s="65"/>
      <c r="B638" s="65"/>
      <c r="C638" s="65"/>
      <c r="D638" s="65"/>
      <c r="E638" s="66"/>
      <c r="F638" s="65"/>
      <c r="G638" s="67"/>
      <c r="H638" s="67"/>
    </row>
    <row r="639" ht="15.75" customHeight="1">
      <c r="A639" s="65"/>
      <c r="B639" s="65"/>
      <c r="C639" s="65"/>
      <c r="D639" s="65"/>
      <c r="E639" s="66"/>
      <c r="F639" s="65"/>
      <c r="G639" s="67"/>
      <c r="H639" s="67"/>
    </row>
    <row r="640" ht="15.75" customHeight="1">
      <c r="A640" s="65"/>
      <c r="B640" s="65"/>
      <c r="C640" s="65"/>
      <c r="D640" s="65"/>
      <c r="E640" s="66"/>
      <c r="F640" s="65"/>
      <c r="G640" s="67"/>
      <c r="H640" s="67"/>
    </row>
    <row r="641" ht="15.75" customHeight="1">
      <c r="A641" s="65"/>
      <c r="B641" s="65"/>
      <c r="C641" s="65"/>
      <c r="D641" s="65"/>
      <c r="E641" s="66"/>
      <c r="F641" s="65"/>
      <c r="G641" s="67"/>
      <c r="H641" s="67"/>
    </row>
    <row r="642" ht="15.75" customHeight="1">
      <c r="A642" s="65"/>
      <c r="B642" s="65"/>
      <c r="C642" s="65"/>
      <c r="D642" s="65"/>
      <c r="E642" s="66"/>
      <c r="F642" s="65"/>
      <c r="G642" s="67"/>
      <c r="H642" s="67"/>
    </row>
    <row r="643" ht="15.75" customHeight="1">
      <c r="A643" s="65"/>
      <c r="B643" s="65"/>
      <c r="C643" s="65"/>
      <c r="D643" s="65"/>
      <c r="E643" s="66"/>
      <c r="F643" s="65"/>
      <c r="G643" s="67"/>
      <c r="H643" s="67"/>
    </row>
    <row r="644" ht="15.75" customHeight="1">
      <c r="A644" s="65"/>
      <c r="B644" s="65"/>
      <c r="C644" s="65"/>
      <c r="D644" s="65"/>
      <c r="E644" s="66"/>
      <c r="F644" s="65"/>
      <c r="G644" s="67"/>
      <c r="H644" s="67"/>
    </row>
    <row r="645" ht="15.75" customHeight="1">
      <c r="A645" s="65"/>
      <c r="B645" s="65"/>
      <c r="C645" s="65"/>
      <c r="D645" s="65"/>
      <c r="E645" s="66"/>
      <c r="F645" s="65"/>
      <c r="G645" s="67"/>
      <c r="H645" s="67"/>
    </row>
    <row r="646" ht="15.75" customHeight="1">
      <c r="A646" s="65"/>
      <c r="B646" s="65"/>
      <c r="C646" s="65"/>
      <c r="D646" s="65"/>
      <c r="E646" s="66"/>
      <c r="F646" s="65"/>
      <c r="G646" s="67"/>
      <c r="H646" s="67"/>
    </row>
    <row r="647" ht="15.75" customHeight="1">
      <c r="A647" s="65"/>
      <c r="B647" s="65"/>
      <c r="C647" s="65"/>
      <c r="D647" s="65"/>
      <c r="E647" s="66"/>
      <c r="F647" s="65"/>
      <c r="G647" s="67"/>
      <c r="H647" s="67"/>
    </row>
    <row r="648" ht="15.75" customHeight="1">
      <c r="A648" s="65"/>
      <c r="B648" s="65"/>
      <c r="C648" s="65"/>
      <c r="D648" s="65"/>
      <c r="E648" s="66"/>
      <c r="F648" s="65"/>
      <c r="G648" s="67"/>
      <c r="H648" s="67"/>
    </row>
    <row r="649" ht="15.75" customHeight="1">
      <c r="A649" s="65"/>
      <c r="B649" s="65"/>
      <c r="C649" s="65"/>
      <c r="D649" s="65"/>
      <c r="E649" s="66"/>
      <c r="F649" s="65"/>
      <c r="G649" s="67"/>
      <c r="H649" s="67"/>
    </row>
    <row r="650" ht="15.75" customHeight="1">
      <c r="A650" s="65"/>
      <c r="B650" s="65"/>
      <c r="C650" s="65"/>
      <c r="D650" s="65"/>
      <c r="E650" s="66"/>
      <c r="F650" s="65"/>
      <c r="G650" s="67"/>
      <c r="H650" s="67"/>
    </row>
    <row r="651" ht="15.75" customHeight="1">
      <c r="A651" s="65"/>
      <c r="B651" s="65"/>
      <c r="C651" s="65"/>
      <c r="D651" s="65"/>
      <c r="E651" s="66"/>
      <c r="F651" s="65"/>
      <c r="G651" s="67"/>
      <c r="H651" s="67"/>
    </row>
    <row r="652" ht="15.75" customHeight="1">
      <c r="A652" s="65"/>
      <c r="B652" s="65"/>
      <c r="C652" s="65"/>
      <c r="D652" s="65"/>
      <c r="E652" s="66"/>
      <c r="F652" s="65"/>
      <c r="G652" s="67"/>
      <c r="H652" s="67"/>
    </row>
    <row r="653" ht="15.75" customHeight="1">
      <c r="A653" s="65"/>
      <c r="B653" s="65"/>
      <c r="C653" s="65"/>
      <c r="D653" s="65"/>
      <c r="E653" s="66"/>
      <c r="F653" s="65"/>
      <c r="G653" s="67"/>
      <c r="H653" s="67"/>
    </row>
    <row r="654" ht="15.75" customHeight="1">
      <c r="A654" s="65"/>
      <c r="B654" s="65"/>
      <c r="C654" s="65"/>
      <c r="D654" s="65"/>
      <c r="E654" s="66"/>
      <c r="F654" s="65"/>
      <c r="G654" s="67"/>
      <c r="H654" s="67"/>
    </row>
    <row r="655" ht="15.75" customHeight="1">
      <c r="A655" s="65"/>
      <c r="B655" s="65"/>
      <c r="C655" s="65"/>
      <c r="D655" s="65"/>
      <c r="E655" s="66"/>
      <c r="F655" s="65"/>
      <c r="G655" s="67"/>
      <c r="H655" s="67"/>
    </row>
    <row r="656" ht="15.75" customHeight="1">
      <c r="A656" s="65"/>
      <c r="B656" s="65"/>
      <c r="C656" s="65"/>
      <c r="D656" s="65"/>
      <c r="E656" s="66"/>
      <c r="F656" s="65"/>
      <c r="G656" s="67"/>
      <c r="H656" s="67"/>
    </row>
    <row r="657" ht="15.75" customHeight="1">
      <c r="A657" s="65"/>
      <c r="B657" s="65"/>
      <c r="C657" s="65"/>
      <c r="D657" s="65"/>
      <c r="E657" s="66"/>
      <c r="F657" s="65"/>
      <c r="G657" s="67"/>
      <c r="H657" s="67"/>
    </row>
    <row r="658" ht="15.75" customHeight="1">
      <c r="A658" s="65"/>
      <c r="B658" s="65"/>
      <c r="C658" s="65"/>
      <c r="D658" s="65"/>
      <c r="E658" s="66"/>
      <c r="F658" s="65"/>
      <c r="G658" s="67"/>
      <c r="H658" s="67"/>
    </row>
    <row r="659" ht="15.75" customHeight="1">
      <c r="A659" s="65"/>
      <c r="B659" s="65"/>
      <c r="C659" s="65"/>
      <c r="D659" s="65"/>
      <c r="E659" s="66"/>
      <c r="F659" s="65"/>
      <c r="G659" s="67"/>
      <c r="H659" s="67"/>
    </row>
    <row r="660" ht="15.75" customHeight="1">
      <c r="A660" s="65"/>
      <c r="B660" s="65"/>
      <c r="C660" s="65"/>
      <c r="D660" s="65"/>
      <c r="E660" s="66"/>
      <c r="F660" s="65"/>
      <c r="G660" s="67"/>
      <c r="H660" s="67"/>
    </row>
    <row r="661" ht="15.75" customHeight="1">
      <c r="A661" s="65"/>
      <c r="B661" s="65"/>
      <c r="C661" s="65"/>
      <c r="D661" s="65"/>
      <c r="E661" s="66"/>
      <c r="F661" s="65"/>
      <c r="G661" s="67"/>
      <c r="H661" s="67"/>
    </row>
    <row r="662" ht="15.75" customHeight="1">
      <c r="A662" s="65"/>
      <c r="B662" s="65"/>
      <c r="C662" s="65"/>
      <c r="D662" s="65"/>
      <c r="E662" s="66"/>
      <c r="F662" s="65"/>
      <c r="G662" s="67"/>
      <c r="H662" s="67"/>
    </row>
    <row r="663" ht="15.75" customHeight="1">
      <c r="A663" s="65"/>
      <c r="B663" s="65"/>
      <c r="C663" s="65"/>
      <c r="D663" s="65"/>
      <c r="E663" s="66"/>
      <c r="F663" s="65"/>
      <c r="G663" s="67"/>
      <c r="H663" s="67"/>
    </row>
    <row r="664" ht="15.75" customHeight="1">
      <c r="A664" s="65"/>
      <c r="B664" s="65"/>
      <c r="C664" s="65"/>
      <c r="D664" s="65"/>
      <c r="E664" s="66"/>
      <c r="F664" s="65"/>
      <c r="G664" s="67"/>
      <c r="H664" s="67"/>
    </row>
    <row r="665" ht="15.75" customHeight="1">
      <c r="A665" s="65"/>
      <c r="B665" s="65"/>
      <c r="C665" s="65"/>
      <c r="D665" s="65"/>
      <c r="E665" s="66"/>
      <c r="F665" s="65"/>
      <c r="G665" s="67"/>
      <c r="H665" s="67"/>
    </row>
    <row r="666" ht="15.75" customHeight="1">
      <c r="A666" s="65"/>
      <c r="B666" s="65"/>
      <c r="C666" s="65"/>
      <c r="D666" s="65"/>
      <c r="E666" s="66"/>
      <c r="F666" s="65"/>
      <c r="G666" s="67"/>
      <c r="H666" s="67"/>
    </row>
    <row r="667" ht="15.75" customHeight="1">
      <c r="A667" s="65"/>
      <c r="B667" s="65"/>
      <c r="C667" s="65"/>
      <c r="D667" s="65"/>
      <c r="E667" s="66"/>
      <c r="F667" s="65"/>
      <c r="G667" s="67"/>
      <c r="H667" s="67"/>
    </row>
    <row r="668" ht="15.75" customHeight="1">
      <c r="A668" s="65"/>
      <c r="B668" s="65"/>
      <c r="C668" s="65"/>
      <c r="D668" s="65"/>
      <c r="E668" s="66"/>
      <c r="F668" s="65"/>
      <c r="G668" s="67"/>
      <c r="H668" s="67"/>
    </row>
    <row r="669" ht="15.75" customHeight="1">
      <c r="A669" s="65"/>
      <c r="B669" s="65"/>
      <c r="C669" s="65"/>
      <c r="D669" s="65"/>
      <c r="E669" s="66"/>
      <c r="F669" s="65"/>
      <c r="G669" s="67"/>
      <c r="H669" s="67"/>
    </row>
    <row r="670" ht="15.75" customHeight="1">
      <c r="A670" s="65"/>
      <c r="B670" s="65"/>
      <c r="C670" s="65"/>
      <c r="D670" s="65"/>
      <c r="E670" s="66"/>
      <c r="F670" s="65"/>
      <c r="G670" s="67"/>
      <c r="H670" s="67"/>
    </row>
    <row r="671" ht="15.75" customHeight="1">
      <c r="A671" s="65"/>
      <c r="B671" s="65"/>
      <c r="C671" s="65"/>
      <c r="D671" s="65"/>
      <c r="E671" s="66"/>
      <c r="F671" s="65"/>
      <c r="G671" s="67"/>
      <c r="H671" s="67"/>
    </row>
    <row r="672" ht="15.75" customHeight="1">
      <c r="A672" s="65"/>
      <c r="B672" s="65"/>
      <c r="C672" s="65"/>
      <c r="D672" s="65"/>
      <c r="E672" s="66"/>
      <c r="F672" s="65"/>
      <c r="G672" s="67"/>
      <c r="H672" s="67"/>
    </row>
    <row r="673" ht="15.75" customHeight="1">
      <c r="A673" s="65"/>
      <c r="B673" s="65"/>
      <c r="C673" s="65"/>
      <c r="D673" s="65"/>
      <c r="E673" s="66"/>
      <c r="F673" s="65"/>
      <c r="G673" s="67"/>
      <c r="H673" s="67"/>
    </row>
    <row r="674" ht="15.75" customHeight="1">
      <c r="A674" s="65"/>
      <c r="B674" s="65"/>
      <c r="C674" s="65"/>
      <c r="D674" s="65"/>
      <c r="E674" s="66"/>
      <c r="F674" s="65"/>
      <c r="G674" s="67"/>
      <c r="H674" s="67"/>
    </row>
    <row r="675" ht="15.75" customHeight="1">
      <c r="A675" s="65"/>
      <c r="B675" s="65"/>
      <c r="C675" s="65"/>
      <c r="D675" s="65"/>
      <c r="E675" s="66"/>
      <c r="F675" s="65"/>
      <c r="G675" s="67"/>
      <c r="H675" s="67"/>
    </row>
    <row r="676" ht="15.75" customHeight="1">
      <c r="A676" s="65"/>
      <c r="B676" s="65"/>
      <c r="C676" s="65"/>
      <c r="D676" s="65"/>
      <c r="E676" s="66"/>
      <c r="F676" s="65"/>
      <c r="G676" s="67"/>
      <c r="H676" s="67"/>
    </row>
    <row r="677" ht="15.75" customHeight="1">
      <c r="A677" s="65"/>
      <c r="B677" s="65"/>
      <c r="C677" s="65"/>
      <c r="D677" s="65"/>
      <c r="E677" s="66"/>
      <c r="F677" s="65"/>
      <c r="G677" s="67"/>
      <c r="H677" s="67"/>
    </row>
    <row r="678" ht="15.75" customHeight="1">
      <c r="A678" s="65"/>
      <c r="B678" s="65"/>
      <c r="C678" s="65"/>
      <c r="D678" s="65"/>
      <c r="E678" s="66"/>
      <c r="F678" s="65"/>
      <c r="G678" s="67"/>
      <c r="H678" s="67"/>
    </row>
    <row r="679" ht="15.75" customHeight="1">
      <c r="A679" s="65"/>
      <c r="B679" s="65"/>
      <c r="C679" s="65"/>
      <c r="D679" s="65"/>
      <c r="E679" s="66"/>
      <c r="F679" s="65"/>
      <c r="G679" s="67"/>
      <c r="H679" s="67"/>
    </row>
    <row r="680" ht="15.75" customHeight="1">
      <c r="A680" s="65"/>
      <c r="B680" s="65"/>
      <c r="C680" s="65"/>
      <c r="D680" s="65"/>
      <c r="E680" s="66"/>
      <c r="F680" s="65"/>
      <c r="G680" s="67"/>
      <c r="H680" s="67"/>
    </row>
    <row r="681" ht="15.75" customHeight="1">
      <c r="A681" s="65"/>
      <c r="B681" s="65"/>
      <c r="C681" s="65"/>
      <c r="D681" s="65"/>
      <c r="E681" s="66"/>
      <c r="F681" s="65"/>
      <c r="G681" s="67"/>
      <c r="H681" s="67"/>
    </row>
    <row r="682" ht="15.75" customHeight="1">
      <c r="A682" s="65"/>
      <c r="B682" s="65"/>
      <c r="C682" s="65"/>
      <c r="D682" s="65"/>
      <c r="E682" s="66"/>
      <c r="F682" s="65"/>
      <c r="G682" s="67"/>
      <c r="H682" s="67"/>
    </row>
    <row r="683" ht="15.75" customHeight="1">
      <c r="A683" s="65"/>
      <c r="B683" s="65"/>
      <c r="C683" s="65"/>
      <c r="D683" s="65"/>
      <c r="E683" s="66"/>
      <c r="F683" s="65"/>
      <c r="G683" s="67"/>
      <c r="H683" s="67"/>
    </row>
    <row r="684" ht="15.75" customHeight="1">
      <c r="A684" s="65"/>
      <c r="B684" s="65"/>
      <c r="C684" s="65"/>
      <c r="D684" s="65"/>
      <c r="E684" s="66"/>
      <c r="F684" s="65"/>
      <c r="G684" s="67"/>
      <c r="H684" s="67"/>
    </row>
    <row r="685" ht="15.75" customHeight="1">
      <c r="A685" s="65"/>
      <c r="B685" s="65"/>
      <c r="C685" s="65"/>
      <c r="D685" s="65"/>
      <c r="E685" s="66"/>
      <c r="F685" s="65"/>
      <c r="G685" s="67"/>
      <c r="H685" s="67"/>
    </row>
    <row r="686" ht="15.75" customHeight="1">
      <c r="A686" s="65"/>
      <c r="B686" s="65"/>
      <c r="C686" s="65"/>
      <c r="D686" s="65"/>
      <c r="E686" s="66"/>
      <c r="F686" s="65"/>
      <c r="G686" s="67"/>
      <c r="H686" s="67"/>
    </row>
    <row r="687" ht="15.75" customHeight="1">
      <c r="A687" s="65"/>
      <c r="B687" s="65"/>
      <c r="C687" s="65"/>
      <c r="D687" s="65"/>
      <c r="E687" s="66"/>
      <c r="F687" s="65"/>
      <c r="G687" s="67"/>
      <c r="H687" s="67"/>
    </row>
    <row r="688" ht="15.75" customHeight="1">
      <c r="A688" s="65"/>
      <c r="B688" s="65"/>
      <c r="C688" s="65"/>
      <c r="D688" s="65"/>
      <c r="E688" s="66"/>
      <c r="F688" s="65"/>
      <c r="G688" s="67"/>
      <c r="H688" s="67"/>
    </row>
    <row r="689" ht="15.75" customHeight="1">
      <c r="A689" s="65"/>
      <c r="B689" s="65"/>
      <c r="C689" s="65"/>
      <c r="D689" s="65"/>
      <c r="E689" s="66"/>
      <c r="F689" s="65"/>
      <c r="G689" s="67"/>
      <c r="H689" s="67"/>
    </row>
    <row r="690" ht="15.75" customHeight="1">
      <c r="A690" s="65"/>
      <c r="B690" s="65"/>
      <c r="C690" s="65"/>
      <c r="D690" s="65"/>
      <c r="E690" s="66"/>
      <c r="F690" s="65"/>
      <c r="G690" s="67"/>
      <c r="H690" s="67"/>
    </row>
    <row r="691" ht="15.75" customHeight="1">
      <c r="A691" s="65"/>
      <c r="B691" s="65"/>
      <c r="C691" s="65"/>
      <c r="D691" s="65"/>
      <c r="E691" s="66"/>
      <c r="F691" s="65"/>
      <c r="G691" s="67"/>
      <c r="H691" s="67"/>
    </row>
    <row r="692" ht="15.75" customHeight="1">
      <c r="A692" s="65"/>
      <c r="B692" s="65"/>
      <c r="C692" s="65"/>
      <c r="D692" s="65"/>
      <c r="E692" s="66"/>
      <c r="F692" s="65"/>
      <c r="G692" s="67"/>
      <c r="H692" s="67"/>
    </row>
    <row r="693" ht="15.75" customHeight="1">
      <c r="A693" s="65"/>
      <c r="B693" s="65"/>
      <c r="C693" s="65"/>
      <c r="D693" s="65"/>
      <c r="E693" s="66"/>
      <c r="F693" s="65"/>
      <c r="G693" s="67"/>
      <c r="H693" s="67"/>
    </row>
    <row r="694" ht="15.75" customHeight="1">
      <c r="A694" s="65"/>
      <c r="B694" s="65"/>
      <c r="C694" s="65"/>
      <c r="D694" s="65"/>
      <c r="E694" s="66"/>
      <c r="F694" s="65"/>
      <c r="G694" s="67"/>
      <c r="H694" s="67"/>
    </row>
    <row r="695" ht="15.75" customHeight="1">
      <c r="A695" s="65"/>
      <c r="B695" s="65"/>
      <c r="C695" s="65"/>
      <c r="D695" s="65"/>
      <c r="E695" s="66"/>
      <c r="F695" s="65"/>
      <c r="G695" s="67"/>
      <c r="H695" s="67"/>
    </row>
    <row r="696" ht="15.75" customHeight="1">
      <c r="A696" s="65"/>
      <c r="B696" s="65"/>
      <c r="C696" s="65"/>
      <c r="D696" s="65"/>
      <c r="E696" s="66"/>
      <c r="F696" s="65"/>
      <c r="G696" s="67"/>
      <c r="H696" s="67"/>
    </row>
    <row r="697" ht="15.75" customHeight="1">
      <c r="A697" s="65"/>
      <c r="B697" s="65"/>
      <c r="C697" s="65"/>
      <c r="D697" s="65"/>
      <c r="E697" s="66"/>
      <c r="F697" s="65"/>
      <c r="G697" s="67"/>
      <c r="H697" s="67"/>
    </row>
    <row r="698" ht="15.75" customHeight="1">
      <c r="A698" s="65"/>
      <c r="B698" s="65"/>
      <c r="C698" s="65"/>
      <c r="D698" s="65"/>
      <c r="E698" s="66"/>
      <c r="F698" s="65"/>
      <c r="G698" s="67"/>
      <c r="H698" s="67"/>
    </row>
    <row r="699" ht="15.75" customHeight="1">
      <c r="A699" s="65"/>
      <c r="B699" s="65"/>
      <c r="C699" s="65"/>
      <c r="D699" s="65"/>
      <c r="E699" s="66"/>
      <c r="F699" s="65"/>
      <c r="G699" s="67"/>
      <c r="H699" s="67"/>
    </row>
    <row r="700" ht="15.75" customHeight="1">
      <c r="A700" s="65"/>
      <c r="B700" s="65"/>
      <c r="C700" s="65"/>
      <c r="D700" s="65"/>
      <c r="E700" s="66"/>
      <c r="F700" s="65"/>
      <c r="G700" s="67"/>
      <c r="H700" s="67"/>
    </row>
    <row r="701" ht="15.75" customHeight="1">
      <c r="A701" s="65"/>
      <c r="B701" s="65"/>
      <c r="C701" s="65"/>
      <c r="D701" s="65"/>
      <c r="E701" s="66"/>
      <c r="F701" s="65"/>
      <c r="G701" s="67"/>
      <c r="H701" s="67"/>
    </row>
    <row r="702" ht="15.75" customHeight="1">
      <c r="A702" s="65"/>
      <c r="B702" s="65"/>
      <c r="C702" s="65"/>
      <c r="D702" s="65"/>
      <c r="E702" s="66"/>
      <c r="F702" s="65"/>
      <c r="G702" s="67"/>
      <c r="H702" s="67"/>
    </row>
    <row r="703" ht="15.75" customHeight="1">
      <c r="A703" s="65"/>
      <c r="B703" s="65"/>
      <c r="C703" s="65"/>
      <c r="D703" s="65"/>
      <c r="E703" s="66"/>
      <c r="F703" s="65"/>
      <c r="G703" s="67"/>
      <c r="H703" s="67"/>
    </row>
    <row r="704" ht="15.75" customHeight="1">
      <c r="A704" s="65"/>
      <c r="B704" s="65"/>
      <c r="C704" s="65"/>
      <c r="D704" s="65"/>
      <c r="E704" s="66"/>
      <c r="F704" s="65"/>
      <c r="G704" s="67"/>
      <c r="H704" s="67"/>
    </row>
    <row r="705" ht="15.75" customHeight="1">
      <c r="A705" s="65"/>
      <c r="B705" s="65"/>
      <c r="C705" s="65"/>
      <c r="D705" s="65"/>
      <c r="E705" s="66"/>
      <c r="F705" s="65"/>
      <c r="G705" s="67"/>
      <c r="H705" s="67"/>
    </row>
    <row r="706" ht="15.75" customHeight="1">
      <c r="A706" s="65"/>
      <c r="B706" s="65"/>
      <c r="C706" s="65"/>
      <c r="D706" s="65"/>
      <c r="E706" s="66"/>
      <c r="F706" s="65"/>
      <c r="G706" s="67"/>
      <c r="H706" s="67"/>
    </row>
    <row r="707" ht="15.75" customHeight="1">
      <c r="A707" s="65"/>
      <c r="B707" s="65"/>
      <c r="C707" s="65"/>
      <c r="D707" s="65"/>
      <c r="E707" s="66"/>
      <c r="F707" s="65"/>
      <c r="G707" s="67"/>
      <c r="H707" s="67"/>
    </row>
    <row r="708" ht="15.75" customHeight="1">
      <c r="A708" s="65"/>
      <c r="B708" s="65"/>
      <c r="C708" s="65"/>
      <c r="D708" s="65"/>
      <c r="E708" s="66"/>
      <c r="F708" s="65"/>
      <c r="G708" s="67"/>
      <c r="H708" s="67"/>
    </row>
    <row r="709" ht="15.75" customHeight="1">
      <c r="A709" s="65"/>
      <c r="B709" s="65"/>
      <c r="C709" s="65"/>
      <c r="D709" s="65"/>
      <c r="E709" s="66"/>
      <c r="F709" s="65"/>
      <c r="G709" s="67"/>
      <c r="H709" s="67"/>
    </row>
    <row r="710" ht="15.75" customHeight="1">
      <c r="A710" s="65"/>
      <c r="B710" s="65"/>
      <c r="C710" s="65"/>
      <c r="D710" s="65"/>
      <c r="E710" s="66"/>
      <c r="F710" s="65"/>
      <c r="G710" s="67"/>
      <c r="H710" s="67"/>
    </row>
    <row r="711" ht="15.75" customHeight="1">
      <c r="A711" s="65"/>
      <c r="B711" s="65"/>
      <c r="C711" s="65"/>
      <c r="D711" s="65"/>
      <c r="E711" s="66"/>
      <c r="F711" s="65"/>
      <c r="G711" s="67"/>
      <c r="H711" s="67"/>
    </row>
    <row r="712" ht="15.75" customHeight="1">
      <c r="A712" s="65"/>
      <c r="B712" s="65"/>
      <c r="C712" s="65"/>
      <c r="D712" s="65"/>
      <c r="E712" s="66"/>
      <c r="F712" s="65"/>
      <c r="G712" s="67"/>
      <c r="H712" s="67"/>
    </row>
    <row r="713" ht="15.75" customHeight="1">
      <c r="A713" s="65"/>
      <c r="B713" s="65"/>
      <c r="C713" s="65"/>
      <c r="D713" s="65"/>
      <c r="E713" s="66"/>
      <c r="F713" s="65"/>
      <c r="G713" s="67"/>
      <c r="H713" s="67"/>
    </row>
    <row r="714" ht="15.75" customHeight="1">
      <c r="A714" s="65"/>
      <c r="B714" s="65"/>
      <c r="C714" s="65"/>
      <c r="D714" s="65"/>
      <c r="E714" s="66"/>
      <c r="F714" s="65"/>
      <c r="G714" s="67"/>
      <c r="H714" s="67"/>
    </row>
    <row r="715" ht="15.75" customHeight="1">
      <c r="A715" s="65"/>
      <c r="B715" s="65"/>
      <c r="C715" s="65"/>
      <c r="D715" s="65"/>
      <c r="E715" s="66"/>
      <c r="F715" s="65"/>
      <c r="G715" s="67"/>
      <c r="H715" s="67"/>
    </row>
    <row r="716" ht="15.75" customHeight="1">
      <c r="A716" s="65"/>
      <c r="B716" s="65"/>
      <c r="C716" s="65"/>
      <c r="D716" s="65"/>
      <c r="E716" s="66"/>
      <c r="F716" s="65"/>
      <c r="G716" s="67"/>
      <c r="H716" s="67"/>
    </row>
    <row r="717" ht="15.75" customHeight="1">
      <c r="A717" s="65"/>
      <c r="B717" s="65"/>
      <c r="C717" s="65"/>
      <c r="D717" s="65"/>
      <c r="E717" s="66"/>
      <c r="F717" s="65"/>
      <c r="G717" s="67"/>
      <c r="H717" s="67"/>
    </row>
    <row r="718" ht="15.75" customHeight="1">
      <c r="A718" s="65"/>
      <c r="B718" s="65"/>
      <c r="C718" s="65"/>
      <c r="D718" s="65"/>
      <c r="E718" s="66"/>
      <c r="F718" s="65"/>
      <c r="G718" s="67"/>
      <c r="H718" s="67"/>
    </row>
    <row r="719" ht="15.75" customHeight="1">
      <c r="A719" s="65"/>
      <c r="B719" s="65"/>
      <c r="C719" s="65"/>
      <c r="D719" s="65"/>
      <c r="E719" s="66"/>
      <c r="F719" s="65"/>
      <c r="G719" s="67"/>
      <c r="H719" s="67"/>
    </row>
    <row r="720" ht="15.75" customHeight="1">
      <c r="A720" s="65"/>
      <c r="B720" s="65"/>
      <c r="C720" s="65"/>
      <c r="D720" s="65"/>
      <c r="E720" s="66"/>
      <c r="F720" s="65"/>
      <c r="G720" s="67"/>
      <c r="H720" s="67"/>
    </row>
    <row r="721" ht="15.75" customHeight="1">
      <c r="A721" s="65"/>
      <c r="B721" s="65"/>
      <c r="C721" s="65"/>
      <c r="D721" s="65"/>
      <c r="E721" s="66"/>
      <c r="F721" s="65"/>
      <c r="G721" s="67"/>
      <c r="H721" s="67"/>
    </row>
    <row r="722" ht="15.75" customHeight="1">
      <c r="A722" s="65"/>
      <c r="B722" s="65"/>
      <c r="C722" s="65"/>
      <c r="D722" s="65"/>
      <c r="E722" s="66"/>
      <c r="F722" s="65"/>
      <c r="G722" s="67"/>
      <c r="H722" s="67"/>
    </row>
    <row r="723" ht="15.75" customHeight="1">
      <c r="A723" s="65"/>
      <c r="B723" s="65"/>
      <c r="C723" s="65"/>
      <c r="D723" s="65"/>
      <c r="E723" s="66"/>
      <c r="F723" s="65"/>
      <c r="G723" s="67"/>
      <c r="H723" s="67"/>
    </row>
    <row r="724" ht="15.75" customHeight="1">
      <c r="A724" s="65"/>
      <c r="B724" s="65"/>
      <c r="C724" s="65"/>
      <c r="D724" s="65"/>
      <c r="E724" s="66"/>
      <c r="F724" s="65"/>
      <c r="G724" s="67"/>
      <c r="H724" s="67"/>
    </row>
    <row r="725" ht="15.75" customHeight="1">
      <c r="A725" s="65"/>
      <c r="B725" s="65"/>
      <c r="C725" s="65"/>
      <c r="D725" s="65"/>
      <c r="E725" s="66"/>
      <c r="F725" s="65"/>
      <c r="G725" s="67"/>
      <c r="H725" s="67"/>
    </row>
    <row r="726" ht="15.75" customHeight="1">
      <c r="A726" s="65"/>
      <c r="B726" s="65"/>
      <c r="C726" s="65"/>
      <c r="D726" s="65"/>
      <c r="E726" s="66"/>
      <c r="F726" s="65"/>
      <c r="G726" s="67"/>
      <c r="H726" s="67"/>
    </row>
    <row r="727" ht="15.75" customHeight="1">
      <c r="A727" s="65"/>
      <c r="B727" s="65"/>
      <c r="C727" s="65"/>
      <c r="D727" s="65"/>
      <c r="E727" s="66"/>
      <c r="F727" s="65"/>
      <c r="G727" s="67"/>
      <c r="H727" s="67"/>
    </row>
    <row r="728" ht="15.75" customHeight="1">
      <c r="A728" s="65"/>
      <c r="B728" s="65"/>
      <c r="C728" s="65"/>
      <c r="D728" s="65"/>
      <c r="E728" s="66"/>
      <c r="F728" s="65"/>
      <c r="G728" s="67"/>
      <c r="H728" s="67"/>
    </row>
    <row r="729" ht="15.75" customHeight="1">
      <c r="A729" s="65"/>
      <c r="B729" s="65"/>
      <c r="C729" s="65"/>
      <c r="D729" s="65"/>
      <c r="E729" s="66"/>
      <c r="F729" s="65"/>
      <c r="G729" s="67"/>
      <c r="H729" s="67"/>
    </row>
    <row r="730" ht="15.75" customHeight="1">
      <c r="A730" s="65"/>
      <c r="B730" s="65"/>
      <c r="C730" s="65"/>
      <c r="D730" s="65"/>
      <c r="E730" s="66"/>
      <c r="F730" s="65"/>
      <c r="G730" s="67"/>
      <c r="H730" s="67"/>
    </row>
    <row r="731" ht="15.75" customHeight="1">
      <c r="A731" s="65"/>
      <c r="B731" s="65"/>
      <c r="C731" s="65"/>
      <c r="D731" s="65"/>
      <c r="E731" s="66"/>
      <c r="F731" s="65"/>
      <c r="G731" s="67"/>
      <c r="H731" s="67"/>
    </row>
    <row r="732" ht="15.75" customHeight="1">
      <c r="A732" s="65"/>
      <c r="B732" s="65"/>
      <c r="C732" s="65"/>
      <c r="D732" s="65"/>
      <c r="E732" s="66"/>
      <c r="F732" s="65"/>
      <c r="G732" s="67"/>
      <c r="H732" s="67"/>
    </row>
    <row r="733" ht="15.75" customHeight="1">
      <c r="A733" s="65"/>
      <c r="B733" s="65"/>
      <c r="C733" s="65"/>
      <c r="D733" s="65"/>
      <c r="E733" s="66"/>
      <c r="F733" s="65"/>
      <c r="G733" s="67"/>
      <c r="H733" s="67"/>
    </row>
    <row r="734" ht="15.75" customHeight="1">
      <c r="A734" s="65"/>
      <c r="B734" s="65"/>
      <c r="C734" s="65"/>
      <c r="D734" s="65"/>
      <c r="E734" s="66"/>
      <c r="F734" s="65"/>
      <c r="G734" s="67"/>
      <c r="H734" s="67"/>
    </row>
    <row r="735" ht="15.75" customHeight="1">
      <c r="A735" s="65"/>
      <c r="B735" s="65"/>
      <c r="C735" s="65"/>
      <c r="D735" s="65"/>
      <c r="E735" s="66"/>
      <c r="F735" s="65"/>
      <c r="G735" s="67"/>
      <c r="H735" s="67"/>
    </row>
    <row r="736" ht="15.75" customHeight="1">
      <c r="A736" s="65"/>
      <c r="B736" s="65"/>
      <c r="C736" s="65"/>
      <c r="D736" s="65"/>
      <c r="E736" s="66"/>
      <c r="F736" s="65"/>
      <c r="G736" s="67"/>
      <c r="H736" s="67"/>
    </row>
    <row r="737" ht="15.75" customHeight="1">
      <c r="A737" s="65"/>
      <c r="B737" s="65"/>
      <c r="C737" s="65"/>
      <c r="D737" s="65"/>
      <c r="E737" s="66"/>
      <c r="F737" s="65"/>
      <c r="G737" s="67"/>
      <c r="H737" s="67"/>
    </row>
    <row r="738" ht="15.75" customHeight="1">
      <c r="A738" s="65"/>
      <c r="B738" s="65"/>
      <c r="C738" s="65"/>
      <c r="D738" s="65"/>
      <c r="E738" s="66"/>
      <c r="F738" s="65"/>
      <c r="G738" s="67"/>
      <c r="H738" s="67"/>
    </row>
    <row r="739" ht="15.75" customHeight="1">
      <c r="A739" s="65"/>
      <c r="B739" s="65"/>
      <c r="C739" s="65"/>
      <c r="D739" s="65"/>
      <c r="E739" s="66"/>
      <c r="F739" s="65"/>
      <c r="G739" s="67"/>
      <c r="H739" s="67"/>
    </row>
    <row r="740" ht="15.75" customHeight="1">
      <c r="A740" s="65"/>
      <c r="B740" s="65"/>
      <c r="C740" s="65"/>
      <c r="D740" s="65"/>
      <c r="E740" s="66"/>
      <c r="F740" s="65"/>
      <c r="G740" s="67"/>
      <c r="H740" s="67"/>
    </row>
    <row r="741" ht="15.75" customHeight="1">
      <c r="A741" s="65"/>
      <c r="B741" s="65"/>
      <c r="C741" s="65"/>
      <c r="D741" s="65"/>
      <c r="E741" s="66"/>
      <c r="F741" s="65"/>
      <c r="G741" s="67"/>
      <c r="H741" s="67"/>
    </row>
    <row r="742" ht="15.75" customHeight="1">
      <c r="A742" s="65"/>
      <c r="B742" s="65"/>
      <c r="C742" s="65"/>
      <c r="D742" s="65"/>
      <c r="E742" s="66"/>
      <c r="F742" s="65"/>
      <c r="G742" s="67"/>
      <c r="H742" s="67"/>
    </row>
    <row r="743" ht="15.75" customHeight="1">
      <c r="A743" s="65"/>
      <c r="B743" s="65"/>
      <c r="C743" s="65"/>
      <c r="D743" s="65"/>
      <c r="E743" s="66"/>
      <c r="F743" s="65"/>
      <c r="G743" s="67"/>
      <c r="H743" s="67"/>
    </row>
    <row r="744" ht="15.75" customHeight="1">
      <c r="A744" s="65"/>
      <c r="B744" s="65"/>
      <c r="C744" s="65"/>
      <c r="D744" s="65"/>
      <c r="E744" s="66"/>
      <c r="F744" s="65"/>
      <c r="G744" s="67"/>
      <c r="H744" s="67"/>
    </row>
    <row r="745" ht="15.75" customHeight="1">
      <c r="A745" s="65"/>
      <c r="B745" s="65"/>
      <c r="C745" s="65"/>
      <c r="D745" s="65"/>
      <c r="E745" s="66"/>
      <c r="F745" s="65"/>
      <c r="G745" s="67"/>
      <c r="H745" s="67"/>
    </row>
    <row r="746" ht="15.75" customHeight="1">
      <c r="A746" s="65"/>
      <c r="B746" s="65"/>
      <c r="C746" s="65"/>
      <c r="D746" s="65"/>
      <c r="E746" s="66"/>
      <c r="F746" s="65"/>
      <c r="G746" s="67"/>
      <c r="H746" s="67"/>
    </row>
    <row r="747" ht="15.75" customHeight="1">
      <c r="A747" s="65"/>
      <c r="B747" s="65"/>
      <c r="C747" s="65"/>
      <c r="D747" s="65"/>
      <c r="E747" s="66"/>
      <c r="F747" s="65"/>
      <c r="G747" s="67"/>
      <c r="H747" s="67"/>
    </row>
    <row r="748" ht="15.75" customHeight="1">
      <c r="A748" s="65"/>
      <c r="B748" s="65"/>
      <c r="C748" s="65"/>
      <c r="D748" s="65"/>
      <c r="E748" s="66"/>
      <c r="F748" s="65"/>
      <c r="G748" s="67"/>
      <c r="H748" s="67"/>
    </row>
    <row r="749" ht="15.75" customHeight="1">
      <c r="A749" s="65"/>
      <c r="B749" s="65"/>
      <c r="C749" s="65"/>
      <c r="D749" s="65"/>
      <c r="E749" s="66"/>
      <c r="F749" s="65"/>
      <c r="G749" s="67"/>
      <c r="H749" s="67"/>
    </row>
    <row r="750" ht="15.75" customHeight="1">
      <c r="A750" s="65"/>
      <c r="B750" s="65"/>
      <c r="C750" s="65"/>
      <c r="D750" s="65"/>
      <c r="E750" s="66"/>
      <c r="F750" s="65"/>
      <c r="G750" s="67"/>
      <c r="H750" s="67"/>
    </row>
    <row r="751" ht="15.75" customHeight="1">
      <c r="A751" s="65"/>
      <c r="B751" s="65"/>
      <c r="C751" s="65"/>
      <c r="D751" s="65"/>
      <c r="E751" s="66"/>
      <c r="F751" s="65"/>
      <c r="G751" s="67"/>
      <c r="H751" s="67"/>
    </row>
    <row r="752" ht="15.75" customHeight="1">
      <c r="A752" s="65"/>
      <c r="B752" s="65"/>
      <c r="C752" s="65"/>
      <c r="D752" s="65"/>
      <c r="E752" s="66"/>
      <c r="F752" s="65"/>
      <c r="G752" s="67"/>
      <c r="H752" s="67"/>
    </row>
    <row r="753" ht="15.75" customHeight="1">
      <c r="A753" s="65"/>
      <c r="B753" s="65"/>
      <c r="C753" s="65"/>
      <c r="D753" s="65"/>
      <c r="E753" s="66"/>
      <c r="F753" s="65"/>
      <c r="G753" s="67"/>
      <c r="H753" s="67"/>
    </row>
    <row r="754" ht="15.75" customHeight="1">
      <c r="A754" s="65"/>
      <c r="B754" s="65"/>
      <c r="C754" s="65"/>
      <c r="D754" s="65"/>
      <c r="E754" s="66"/>
      <c r="F754" s="65"/>
      <c r="G754" s="67"/>
      <c r="H754" s="67"/>
    </row>
    <row r="755" ht="15.75" customHeight="1">
      <c r="A755" s="65"/>
      <c r="B755" s="65"/>
      <c r="C755" s="65"/>
      <c r="D755" s="65"/>
      <c r="E755" s="66"/>
      <c r="F755" s="65"/>
      <c r="G755" s="67"/>
      <c r="H755" s="67"/>
    </row>
    <row r="756" ht="15.75" customHeight="1">
      <c r="A756" s="65"/>
      <c r="B756" s="65"/>
      <c r="C756" s="65"/>
      <c r="D756" s="65"/>
      <c r="E756" s="66"/>
      <c r="F756" s="65"/>
      <c r="G756" s="67"/>
      <c r="H756" s="67"/>
    </row>
    <row r="757" ht="15.75" customHeight="1">
      <c r="A757" s="65"/>
      <c r="B757" s="65"/>
      <c r="C757" s="65"/>
      <c r="D757" s="65"/>
      <c r="E757" s="66"/>
      <c r="F757" s="65"/>
      <c r="G757" s="67"/>
      <c r="H757" s="67"/>
    </row>
    <row r="758" ht="15.75" customHeight="1">
      <c r="A758" s="65"/>
      <c r="B758" s="65"/>
      <c r="C758" s="65"/>
      <c r="D758" s="65"/>
      <c r="E758" s="66"/>
      <c r="F758" s="65"/>
      <c r="G758" s="67"/>
      <c r="H758" s="67"/>
    </row>
    <row r="759" ht="15.75" customHeight="1">
      <c r="A759" s="65"/>
      <c r="B759" s="65"/>
      <c r="C759" s="65"/>
      <c r="D759" s="65"/>
      <c r="E759" s="66"/>
      <c r="F759" s="65"/>
      <c r="G759" s="67"/>
      <c r="H759" s="67"/>
    </row>
    <row r="760" ht="15.75" customHeight="1">
      <c r="A760" s="65"/>
      <c r="B760" s="65"/>
      <c r="C760" s="65"/>
      <c r="D760" s="65"/>
      <c r="E760" s="66"/>
      <c r="F760" s="65"/>
      <c r="G760" s="67"/>
      <c r="H760" s="67"/>
    </row>
    <row r="761" ht="15.75" customHeight="1">
      <c r="A761" s="65"/>
      <c r="B761" s="65"/>
      <c r="C761" s="65"/>
      <c r="D761" s="65"/>
      <c r="E761" s="66"/>
      <c r="F761" s="65"/>
      <c r="G761" s="67"/>
      <c r="H761" s="67"/>
    </row>
    <row r="762" ht="15.75" customHeight="1">
      <c r="A762" s="65"/>
      <c r="B762" s="65"/>
      <c r="C762" s="65"/>
      <c r="D762" s="65"/>
      <c r="E762" s="66"/>
      <c r="F762" s="65"/>
      <c r="G762" s="67"/>
      <c r="H762" s="67"/>
    </row>
    <row r="763" ht="15.75" customHeight="1">
      <c r="A763" s="65"/>
      <c r="B763" s="65"/>
      <c r="C763" s="65"/>
      <c r="D763" s="65"/>
      <c r="E763" s="66"/>
      <c r="F763" s="65"/>
      <c r="G763" s="67"/>
      <c r="H763" s="67"/>
    </row>
    <row r="764" ht="15.75" customHeight="1">
      <c r="A764" s="65"/>
      <c r="B764" s="65"/>
      <c r="C764" s="65"/>
      <c r="D764" s="65"/>
      <c r="E764" s="66"/>
      <c r="F764" s="65"/>
      <c r="G764" s="67"/>
      <c r="H764" s="67"/>
    </row>
    <row r="765" ht="15.75" customHeight="1">
      <c r="A765" s="65"/>
      <c r="B765" s="65"/>
      <c r="C765" s="65"/>
      <c r="D765" s="65"/>
      <c r="E765" s="66"/>
      <c r="F765" s="65"/>
      <c r="G765" s="67"/>
      <c r="H765" s="67"/>
    </row>
    <row r="766" ht="15.75" customHeight="1">
      <c r="A766" s="65"/>
      <c r="B766" s="65"/>
      <c r="C766" s="65"/>
      <c r="D766" s="65"/>
      <c r="E766" s="66"/>
      <c r="F766" s="65"/>
      <c r="G766" s="67"/>
      <c r="H766" s="67"/>
    </row>
    <row r="767" ht="15.75" customHeight="1">
      <c r="A767" s="65"/>
      <c r="B767" s="65"/>
      <c r="C767" s="65"/>
      <c r="D767" s="65"/>
      <c r="E767" s="66"/>
      <c r="F767" s="65"/>
      <c r="G767" s="67"/>
      <c r="H767" s="67"/>
    </row>
    <row r="768" ht="15.75" customHeight="1">
      <c r="A768" s="65"/>
      <c r="B768" s="65"/>
      <c r="C768" s="65"/>
      <c r="D768" s="65"/>
      <c r="E768" s="66"/>
      <c r="F768" s="65"/>
      <c r="G768" s="67"/>
      <c r="H768" s="67"/>
    </row>
    <row r="769" ht="15.75" customHeight="1">
      <c r="A769" s="65"/>
      <c r="B769" s="65"/>
      <c r="C769" s="65"/>
      <c r="D769" s="65"/>
      <c r="E769" s="66"/>
      <c r="F769" s="65"/>
      <c r="G769" s="67"/>
      <c r="H769" s="67"/>
    </row>
    <row r="770" ht="15.75" customHeight="1">
      <c r="A770" s="65"/>
      <c r="B770" s="65"/>
      <c r="C770" s="65"/>
      <c r="D770" s="65"/>
      <c r="E770" s="66"/>
      <c r="F770" s="65"/>
      <c r="G770" s="67"/>
      <c r="H770" s="67"/>
    </row>
    <row r="771" ht="15.75" customHeight="1">
      <c r="A771" s="65"/>
      <c r="B771" s="65"/>
      <c r="C771" s="65"/>
      <c r="D771" s="65"/>
      <c r="E771" s="66"/>
      <c r="F771" s="65"/>
      <c r="G771" s="67"/>
      <c r="H771" s="67"/>
    </row>
    <row r="772" ht="15.75" customHeight="1">
      <c r="A772" s="65"/>
      <c r="B772" s="65"/>
      <c r="C772" s="65"/>
      <c r="D772" s="65"/>
      <c r="E772" s="66"/>
      <c r="F772" s="65"/>
      <c r="G772" s="67"/>
      <c r="H772" s="67"/>
    </row>
    <row r="773" ht="15.75" customHeight="1">
      <c r="A773" s="65"/>
      <c r="B773" s="65"/>
      <c r="C773" s="65"/>
      <c r="D773" s="65"/>
      <c r="E773" s="66"/>
      <c r="F773" s="65"/>
      <c r="G773" s="67"/>
      <c r="H773" s="67"/>
    </row>
    <row r="774" ht="15.75" customHeight="1">
      <c r="A774" s="65"/>
      <c r="B774" s="65"/>
      <c r="C774" s="65"/>
      <c r="D774" s="65"/>
      <c r="E774" s="66"/>
      <c r="F774" s="65"/>
      <c r="G774" s="67"/>
      <c r="H774" s="67"/>
    </row>
    <row r="775" ht="15.75" customHeight="1">
      <c r="A775" s="65"/>
      <c r="B775" s="65"/>
      <c r="C775" s="65"/>
      <c r="D775" s="65"/>
      <c r="E775" s="66"/>
      <c r="F775" s="65"/>
      <c r="G775" s="67"/>
      <c r="H775" s="67"/>
    </row>
    <row r="776" ht="15.75" customHeight="1">
      <c r="A776" s="65"/>
      <c r="B776" s="65"/>
      <c r="C776" s="65"/>
      <c r="D776" s="65"/>
      <c r="E776" s="66"/>
      <c r="F776" s="65"/>
      <c r="G776" s="67"/>
      <c r="H776" s="67"/>
    </row>
    <row r="777" ht="15.75" customHeight="1">
      <c r="A777" s="65"/>
      <c r="B777" s="65"/>
      <c r="C777" s="65"/>
      <c r="D777" s="65"/>
      <c r="E777" s="66"/>
      <c r="F777" s="65"/>
      <c r="G777" s="67"/>
      <c r="H777" s="67"/>
    </row>
    <row r="778" ht="15.75" customHeight="1">
      <c r="A778" s="65"/>
      <c r="B778" s="65"/>
      <c r="C778" s="65"/>
      <c r="D778" s="65"/>
      <c r="E778" s="66"/>
      <c r="F778" s="65"/>
      <c r="G778" s="67"/>
      <c r="H778" s="67"/>
    </row>
    <row r="779" ht="15.75" customHeight="1">
      <c r="A779" s="65"/>
      <c r="B779" s="65"/>
      <c r="C779" s="65"/>
      <c r="D779" s="65"/>
      <c r="E779" s="66"/>
      <c r="F779" s="65"/>
      <c r="G779" s="67"/>
      <c r="H779" s="67"/>
    </row>
    <row r="780" ht="15.75" customHeight="1">
      <c r="A780" s="65"/>
      <c r="B780" s="65"/>
      <c r="C780" s="65"/>
      <c r="D780" s="65"/>
      <c r="E780" s="66"/>
      <c r="F780" s="65"/>
      <c r="G780" s="67"/>
      <c r="H780" s="67"/>
    </row>
    <row r="781" ht="15.75" customHeight="1">
      <c r="A781" s="65"/>
      <c r="B781" s="65"/>
      <c r="C781" s="65"/>
      <c r="D781" s="65"/>
      <c r="E781" s="66"/>
      <c r="F781" s="65"/>
      <c r="G781" s="67"/>
      <c r="H781" s="67"/>
    </row>
    <row r="782" ht="15.75" customHeight="1">
      <c r="A782" s="65"/>
      <c r="B782" s="65"/>
      <c r="C782" s="65"/>
      <c r="D782" s="65"/>
      <c r="E782" s="66"/>
      <c r="F782" s="65"/>
      <c r="G782" s="67"/>
      <c r="H782" s="67"/>
    </row>
    <row r="783" ht="15.75" customHeight="1">
      <c r="A783" s="65"/>
      <c r="B783" s="65"/>
      <c r="C783" s="65"/>
      <c r="D783" s="65"/>
      <c r="E783" s="66"/>
      <c r="F783" s="65"/>
      <c r="G783" s="67"/>
      <c r="H783" s="67"/>
    </row>
    <row r="784" ht="15.75" customHeight="1">
      <c r="A784" s="65"/>
      <c r="B784" s="65"/>
      <c r="C784" s="65"/>
      <c r="D784" s="65"/>
      <c r="E784" s="66"/>
      <c r="F784" s="65"/>
      <c r="G784" s="67"/>
      <c r="H784" s="67"/>
    </row>
    <row r="785" ht="15.75" customHeight="1">
      <c r="A785" s="65"/>
      <c r="B785" s="65"/>
      <c r="C785" s="65"/>
      <c r="D785" s="65"/>
      <c r="E785" s="66"/>
      <c r="F785" s="65"/>
      <c r="G785" s="67"/>
      <c r="H785" s="67"/>
    </row>
    <row r="786" ht="15.75" customHeight="1">
      <c r="A786" s="65"/>
      <c r="B786" s="65"/>
      <c r="C786" s="65"/>
      <c r="D786" s="65"/>
      <c r="E786" s="66"/>
      <c r="F786" s="65"/>
      <c r="G786" s="67"/>
      <c r="H786" s="67"/>
    </row>
    <row r="787" ht="15.75" customHeight="1">
      <c r="A787" s="65"/>
      <c r="B787" s="65"/>
      <c r="C787" s="65"/>
      <c r="D787" s="65"/>
      <c r="E787" s="66"/>
      <c r="F787" s="65"/>
      <c r="G787" s="67"/>
      <c r="H787" s="67"/>
    </row>
    <row r="788" ht="15.75" customHeight="1">
      <c r="A788" s="65"/>
      <c r="B788" s="65"/>
      <c r="C788" s="65"/>
      <c r="D788" s="65"/>
      <c r="E788" s="66"/>
      <c r="F788" s="65"/>
      <c r="G788" s="67"/>
      <c r="H788" s="67"/>
    </row>
    <row r="789" ht="15.75" customHeight="1">
      <c r="A789" s="65"/>
      <c r="B789" s="65"/>
      <c r="C789" s="65"/>
      <c r="D789" s="65"/>
      <c r="E789" s="66"/>
      <c r="F789" s="65"/>
      <c r="G789" s="67"/>
      <c r="H789" s="67"/>
    </row>
    <row r="790" ht="15.75" customHeight="1">
      <c r="A790" s="65"/>
      <c r="B790" s="65"/>
      <c r="C790" s="65"/>
      <c r="D790" s="65"/>
      <c r="E790" s="66"/>
      <c r="F790" s="65"/>
      <c r="G790" s="67"/>
      <c r="H790" s="67"/>
    </row>
    <row r="791" ht="15.75" customHeight="1">
      <c r="A791" s="65"/>
      <c r="B791" s="65"/>
      <c r="C791" s="65"/>
      <c r="D791" s="65"/>
      <c r="E791" s="66"/>
      <c r="F791" s="65"/>
      <c r="G791" s="67"/>
      <c r="H791" s="67"/>
    </row>
    <row r="792" ht="15.75" customHeight="1">
      <c r="A792" s="65"/>
      <c r="B792" s="65"/>
      <c r="C792" s="65"/>
      <c r="D792" s="65"/>
      <c r="E792" s="66"/>
      <c r="F792" s="65"/>
      <c r="G792" s="67"/>
      <c r="H792" s="67"/>
    </row>
    <row r="793" ht="15.75" customHeight="1">
      <c r="A793" s="65"/>
      <c r="B793" s="65"/>
      <c r="C793" s="65"/>
      <c r="D793" s="65"/>
      <c r="E793" s="66"/>
      <c r="F793" s="65"/>
      <c r="G793" s="67"/>
      <c r="H793" s="67"/>
    </row>
    <row r="794" ht="15.75" customHeight="1">
      <c r="A794" s="65"/>
      <c r="B794" s="65"/>
      <c r="C794" s="65"/>
      <c r="D794" s="65"/>
      <c r="E794" s="66"/>
      <c r="F794" s="65"/>
      <c r="G794" s="67"/>
      <c r="H794" s="67"/>
    </row>
    <row r="795" ht="15.75" customHeight="1">
      <c r="A795" s="65"/>
      <c r="B795" s="65"/>
      <c r="C795" s="65"/>
      <c r="D795" s="65"/>
      <c r="E795" s="66"/>
      <c r="F795" s="65"/>
      <c r="G795" s="67"/>
      <c r="H795" s="67"/>
    </row>
    <row r="796" ht="15.75" customHeight="1">
      <c r="A796" s="65"/>
      <c r="B796" s="65"/>
      <c r="C796" s="65"/>
      <c r="D796" s="65"/>
      <c r="E796" s="66"/>
      <c r="F796" s="65"/>
      <c r="G796" s="67"/>
      <c r="H796" s="67"/>
    </row>
    <row r="797" ht="15.75" customHeight="1">
      <c r="A797" s="65"/>
      <c r="B797" s="65"/>
      <c r="C797" s="65"/>
      <c r="D797" s="65"/>
      <c r="E797" s="66"/>
      <c r="F797" s="65"/>
      <c r="G797" s="67"/>
      <c r="H797" s="67"/>
    </row>
    <row r="798" ht="15.75" customHeight="1">
      <c r="A798" s="65"/>
      <c r="B798" s="65"/>
      <c r="C798" s="65"/>
      <c r="D798" s="65"/>
      <c r="E798" s="66"/>
      <c r="F798" s="65"/>
      <c r="G798" s="67"/>
      <c r="H798" s="67"/>
    </row>
    <row r="799" ht="15.75" customHeight="1">
      <c r="A799" s="65"/>
      <c r="B799" s="65"/>
      <c r="C799" s="65"/>
      <c r="D799" s="65"/>
      <c r="E799" s="66"/>
      <c r="F799" s="65"/>
      <c r="G799" s="67"/>
      <c r="H799" s="67"/>
    </row>
    <row r="800" ht="15.75" customHeight="1">
      <c r="A800" s="65"/>
      <c r="B800" s="65"/>
      <c r="C800" s="65"/>
      <c r="D800" s="65"/>
      <c r="E800" s="66"/>
      <c r="F800" s="65"/>
      <c r="G800" s="67"/>
      <c r="H800" s="67"/>
    </row>
    <row r="801" ht="15.75" customHeight="1">
      <c r="A801" s="65"/>
      <c r="B801" s="65"/>
      <c r="C801" s="65"/>
      <c r="D801" s="65"/>
      <c r="E801" s="66"/>
      <c r="F801" s="65"/>
      <c r="G801" s="67"/>
      <c r="H801" s="67"/>
    </row>
    <row r="802" ht="15.75" customHeight="1">
      <c r="A802" s="65"/>
      <c r="B802" s="65"/>
      <c r="C802" s="65"/>
      <c r="D802" s="65"/>
      <c r="E802" s="66"/>
      <c r="F802" s="65"/>
      <c r="G802" s="67"/>
      <c r="H802" s="67"/>
    </row>
    <row r="803" ht="15.75" customHeight="1">
      <c r="A803" s="65"/>
      <c r="B803" s="65"/>
      <c r="C803" s="65"/>
      <c r="D803" s="65"/>
      <c r="E803" s="66"/>
      <c r="F803" s="65"/>
      <c r="G803" s="67"/>
      <c r="H803" s="67"/>
    </row>
    <row r="804" ht="15.75" customHeight="1">
      <c r="A804" s="65"/>
      <c r="B804" s="65"/>
      <c r="C804" s="65"/>
      <c r="D804" s="65"/>
      <c r="E804" s="66"/>
      <c r="F804" s="65"/>
      <c r="G804" s="67"/>
      <c r="H804" s="67"/>
    </row>
    <row r="805" ht="15.75" customHeight="1">
      <c r="A805" s="65"/>
      <c r="B805" s="65"/>
      <c r="C805" s="65"/>
      <c r="D805" s="65"/>
      <c r="E805" s="66"/>
      <c r="F805" s="65"/>
      <c r="G805" s="67"/>
      <c r="H805" s="67"/>
    </row>
    <row r="806" ht="15.75" customHeight="1">
      <c r="A806" s="65"/>
      <c r="B806" s="65"/>
      <c r="C806" s="65"/>
      <c r="D806" s="65"/>
      <c r="E806" s="66"/>
      <c r="F806" s="65"/>
      <c r="G806" s="67"/>
      <c r="H806" s="67"/>
    </row>
    <row r="807" ht="15.75" customHeight="1">
      <c r="A807" s="65"/>
      <c r="B807" s="65"/>
      <c r="C807" s="65"/>
      <c r="D807" s="65"/>
      <c r="E807" s="66"/>
      <c r="F807" s="65"/>
      <c r="G807" s="67"/>
      <c r="H807" s="67"/>
    </row>
    <row r="808" ht="15.75" customHeight="1">
      <c r="A808" s="65"/>
      <c r="B808" s="65"/>
      <c r="C808" s="65"/>
      <c r="D808" s="65"/>
      <c r="E808" s="66"/>
      <c r="F808" s="65"/>
      <c r="G808" s="67"/>
      <c r="H808" s="67"/>
    </row>
    <row r="809" ht="15.75" customHeight="1">
      <c r="A809" s="65"/>
      <c r="B809" s="65"/>
      <c r="C809" s="65"/>
      <c r="D809" s="65"/>
      <c r="E809" s="66"/>
      <c r="F809" s="65"/>
      <c r="G809" s="67"/>
      <c r="H809" s="67"/>
    </row>
    <row r="810" ht="15.75" customHeight="1">
      <c r="A810" s="65"/>
      <c r="B810" s="65"/>
      <c r="C810" s="65"/>
      <c r="D810" s="65"/>
      <c r="E810" s="66"/>
      <c r="F810" s="65"/>
      <c r="G810" s="67"/>
      <c r="H810" s="67"/>
    </row>
    <row r="811" ht="15.75" customHeight="1">
      <c r="A811" s="65"/>
      <c r="B811" s="65"/>
      <c r="C811" s="65"/>
      <c r="D811" s="65"/>
      <c r="E811" s="66"/>
      <c r="F811" s="65"/>
      <c r="G811" s="67"/>
      <c r="H811" s="67"/>
    </row>
    <row r="812" ht="15.75" customHeight="1">
      <c r="A812" s="65"/>
      <c r="B812" s="65"/>
      <c r="C812" s="65"/>
      <c r="D812" s="65"/>
      <c r="E812" s="66"/>
      <c r="F812" s="65"/>
      <c r="G812" s="67"/>
      <c r="H812" s="67"/>
    </row>
    <row r="813" ht="15.75" customHeight="1">
      <c r="A813" s="65"/>
      <c r="B813" s="65"/>
      <c r="C813" s="65"/>
      <c r="D813" s="65"/>
      <c r="E813" s="66"/>
      <c r="F813" s="65"/>
      <c r="G813" s="67"/>
      <c r="H813" s="67"/>
    </row>
    <row r="814" ht="15.75" customHeight="1">
      <c r="A814" s="65"/>
      <c r="B814" s="65"/>
      <c r="C814" s="65"/>
      <c r="D814" s="65"/>
      <c r="E814" s="66"/>
      <c r="F814" s="65"/>
      <c r="G814" s="67"/>
      <c r="H814" s="67"/>
    </row>
    <row r="815" ht="15.75" customHeight="1">
      <c r="A815" s="65"/>
      <c r="B815" s="65"/>
      <c r="C815" s="65"/>
      <c r="D815" s="65"/>
      <c r="E815" s="66"/>
      <c r="F815" s="65"/>
      <c r="G815" s="67"/>
      <c r="H815" s="67"/>
    </row>
    <row r="816" ht="15.75" customHeight="1">
      <c r="A816" s="65"/>
      <c r="B816" s="65"/>
      <c r="C816" s="65"/>
      <c r="D816" s="65"/>
      <c r="E816" s="66"/>
      <c r="F816" s="65"/>
      <c r="G816" s="67"/>
      <c r="H816" s="67"/>
    </row>
    <row r="817" ht="15.75" customHeight="1">
      <c r="A817" s="65"/>
      <c r="B817" s="65"/>
      <c r="C817" s="65"/>
      <c r="D817" s="65"/>
      <c r="E817" s="66"/>
      <c r="F817" s="65"/>
      <c r="G817" s="67"/>
      <c r="H817" s="67"/>
    </row>
    <row r="818" ht="15.75" customHeight="1">
      <c r="A818" s="65"/>
      <c r="B818" s="65"/>
      <c r="C818" s="65"/>
      <c r="D818" s="65"/>
      <c r="E818" s="66"/>
      <c r="F818" s="65"/>
      <c r="G818" s="67"/>
      <c r="H818" s="67"/>
    </row>
    <row r="819" ht="15.75" customHeight="1">
      <c r="A819" s="65"/>
      <c r="B819" s="65"/>
      <c r="C819" s="65"/>
      <c r="D819" s="65"/>
      <c r="E819" s="66"/>
      <c r="F819" s="65"/>
      <c r="G819" s="67"/>
      <c r="H819" s="67"/>
    </row>
    <row r="820" ht="15.75" customHeight="1">
      <c r="A820" s="65"/>
      <c r="B820" s="65"/>
      <c r="C820" s="65"/>
      <c r="D820" s="65"/>
      <c r="E820" s="66"/>
      <c r="F820" s="65"/>
      <c r="G820" s="67"/>
      <c r="H820" s="67"/>
    </row>
    <row r="821" ht="15.75" customHeight="1">
      <c r="A821" s="65"/>
      <c r="B821" s="65"/>
      <c r="C821" s="65"/>
      <c r="D821" s="65"/>
      <c r="E821" s="66"/>
      <c r="F821" s="65"/>
      <c r="G821" s="67"/>
      <c r="H821" s="67"/>
    </row>
    <row r="822" ht="15.75" customHeight="1">
      <c r="A822" s="65"/>
      <c r="B822" s="65"/>
      <c r="C822" s="65"/>
      <c r="D822" s="65"/>
      <c r="E822" s="66"/>
      <c r="F822" s="65"/>
      <c r="G822" s="67"/>
      <c r="H822" s="67"/>
    </row>
    <row r="823" ht="15.75" customHeight="1">
      <c r="A823" s="65"/>
      <c r="B823" s="65"/>
      <c r="C823" s="65"/>
      <c r="D823" s="65"/>
      <c r="E823" s="66"/>
      <c r="F823" s="65"/>
      <c r="G823" s="67"/>
      <c r="H823" s="67"/>
    </row>
    <row r="824" ht="15.75" customHeight="1">
      <c r="A824" s="65"/>
      <c r="B824" s="65"/>
      <c r="C824" s="65"/>
      <c r="D824" s="65"/>
      <c r="E824" s="66"/>
      <c r="F824" s="65"/>
      <c r="G824" s="67"/>
      <c r="H824" s="67"/>
    </row>
    <row r="825" ht="15.75" customHeight="1">
      <c r="A825" s="65"/>
      <c r="B825" s="65"/>
      <c r="C825" s="65"/>
      <c r="D825" s="65"/>
      <c r="E825" s="66"/>
      <c r="F825" s="65"/>
      <c r="G825" s="67"/>
      <c r="H825" s="67"/>
    </row>
    <row r="826" ht="15.75" customHeight="1">
      <c r="A826" s="65"/>
      <c r="B826" s="65"/>
      <c r="C826" s="65"/>
      <c r="D826" s="65"/>
      <c r="E826" s="66"/>
      <c r="F826" s="65"/>
      <c r="G826" s="67"/>
      <c r="H826" s="67"/>
    </row>
    <row r="827" ht="15.75" customHeight="1">
      <c r="A827" s="65"/>
      <c r="B827" s="65"/>
      <c r="C827" s="65"/>
      <c r="D827" s="65"/>
      <c r="E827" s="66"/>
      <c r="F827" s="65"/>
      <c r="G827" s="67"/>
      <c r="H827" s="67"/>
    </row>
    <row r="828" ht="15.75" customHeight="1">
      <c r="A828" s="65"/>
      <c r="B828" s="65"/>
      <c r="C828" s="65"/>
      <c r="D828" s="65"/>
      <c r="E828" s="66"/>
      <c r="F828" s="65"/>
      <c r="G828" s="67"/>
      <c r="H828" s="67"/>
    </row>
    <row r="829" ht="15.75" customHeight="1">
      <c r="A829" s="65"/>
      <c r="B829" s="65"/>
      <c r="C829" s="65"/>
      <c r="D829" s="65"/>
      <c r="E829" s="66"/>
      <c r="F829" s="65"/>
      <c r="G829" s="67"/>
      <c r="H829" s="67"/>
    </row>
    <row r="830" ht="15.75" customHeight="1">
      <c r="A830" s="65"/>
      <c r="B830" s="65"/>
      <c r="C830" s="65"/>
      <c r="D830" s="65"/>
      <c r="E830" s="66"/>
      <c r="F830" s="65"/>
      <c r="G830" s="67"/>
      <c r="H830" s="67"/>
    </row>
    <row r="831" ht="15.75" customHeight="1">
      <c r="A831" s="65"/>
      <c r="B831" s="65"/>
      <c r="C831" s="65"/>
      <c r="D831" s="65"/>
      <c r="E831" s="66"/>
      <c r="F831" s="65"/>
      <c r="G831" s="67"/>
      <c r="H831" s="67"/>
    </row>
    <row r="832" ht="15.75" customHeight="1">
      <c r="A832" s="65"/>
      <c r="B832" s="65"/>
      <c r="C832" s="65"/>
      <c r="D832" s="65"/>
      <c r="E832" s="66"/>
      <c r="F832" s="65"/>
      <c r="G832" s="67"/>
      <c r="H832" s="67"/>
    </row>
    <row r="833" ht="15.75" customHeight="1">
      <c r="A833" s="65"/>
      <c r="B833" s="65"/>
      <c r="C833" s="65"/>
      <c r="D833" s="65"/>
      <c r="E833" s="66"/>
      <c r="F833" s="65"/>
      <c r="G833" s="67"/>
      <c r="H833" s="67"/>
    </row>
    <row r="834" ht="15.75" customHeight="1">
      <c r="A834" s="65"/>
      <c r="B834" s="65"/>
      <c r="C834" s="65"/>
      <c r="D834" s="65"/>
      <c r="E834" s="66"/>
      <c r="F834" s="65"/>
      <c r="G834" s="67"/>
      <c r="H834" s="67"/>
    </row>
    <row r="835" ht="15.75" customHeight="1">
      <c r="A835" s="65"/>
      <c r="B835" s="65"/>
      <c r="C835" s="65"/>
      <c r="D835" s="65"/>
      <c r="E835" s="66"/>
      <c r="F835" s="65"/>
      <c r="G835" s="67"/>
      <c r="H835" s="67"/>
    </row>
    <row r="836" ht="15.75" customHeight="1">
      <c r="A836" s="65"/>
      <c r="B836" s="65"/>
      <c r="C836" s="65"/>
      <c r="D836" s="65"/>
      <c r="E836" s="66"/>
      <c r="F836" s="65"/>
      <c r="G836" s="67"/>
      <c r="H836" s="67"/>
    </row>
    <row r="837" ht="15.75" customHeight="1">
      <c r="A837" s="65"/>
      <c r="B837" s="65"/>
      <c r="C837" s="65"/>
      <c r="D837" s="65"/>
      <c r="E837" s="66"/>
      <c r="F837" s="65"/>
      <c r="G837" s="67"/>
      <c r="H837" s="67"/>
    </row>
    <row r="838" ht="15.75" customHeight="1">
      <c r="A838" s="65"/>
      <c r="B838" s="65"/>
      <c r="C838" s="65"/>
      <c r="D838" s="65"/>
      <c r="E838" s="66"/>
      <c r="F838" s="65"/>
      <c r="G838" s="67"/>
      <c r="H838" s="67"/>
    </row>
    <row r="839" ht="15.75" customHeight="1">
      <c r="A839" s="65"/>
      <c r="B839" s="65"/>
      <c r="C839" s="65"/>
      <c r="D839" s="65"/>
      <c r="E839" s="66"/>
      <c r="F839" s="65"/>
      <c r="G839" s="67"/>
      <c r="H839" s="67"/>
    </row>
    <row r="840" ht="15.75" customHeight="1">
      <c r="A840" s="65"/>
      <c r="B840" s="65"/>
      <c r="C840" s="65"/>
      <c r="D840" s="65"/>
      <c r="E840" s="66"/>
      <c r="F840" s="65"/>
      <c r="G840" s="67"/>
      <c r="H840" s="67"/>
    </row>
    <row r="841" ht="15.75" customHeight="1">
      <c r="A841" s="65"/>
      <c r="B841" s="65"/>
      <c r="C841" s="65"/>
      <c r="D841" s="65"/>
      <c r="E841" s="66"/>
      <c r="F841" s="65"/>
      <c r="G841" s="67"/>
      <c r="H841" s="67"/>
    </row>
    <row r="842" ht="15.75" customHeight="1">
      <c r="A842" s="65"/>
      <c r="B842" s="65"/>
      <c r="C842" s="65"/>
      <c r="D842" s="65"/>
      <c r="E842" s="66"/>
      <c r="F842" s="65"/>
      <c r="G842" s="67"/>
      <c r="H842" s="67"/>
    </row>
    <row r="843" ht="15.75" customHeight="1">
      <c r="A843" s="65"/>
      <c r="B843" s="65"/>
      <c r="C843" s="65"/>
      <c r="D843" s="65"/>
      <c r="E843" s="66"/>
      <c r="F843" s="65"/>
      <c r="G843" s="67"/>
      <c r="H843" s="67"/>
    </row>
    <row r="844" ht="15.75" customHeight="1">
      <c r="A844" s="65"/>
      <c r="B844" s="65"/>
      <c r="C844" s="65"/>
      <c r="D844" s="65"/>
      <c r="E844" s="66"/>
      <c r="F844" s="65"/>
      <c r="G844" s="67"/>
      <c r="H844" s="67"/>
    </row>
    <row r="845" ht="15.75" customHeight="1">
      <c r="A845" s="65"/>
      <c r="B845" s="65"/>
      <c r="C845" s="65"/>
      <c r="D845" s="65"/>
      <c r="E845" s="66"/>
      <c r="F845" s="65"/>
      <c r="G845" s="67"/>
      <c r="H845" s="67"/>
    </row>
    <row r="846" ht="15.75" customHeight="1">
      <c r="A846" s="65"/>
      <c r="B846" s="65"/>
      <c r="C846" s="65"/>
      <c r="D846" s="65"/>
      <c r="E846" s="66"/>
      <c r="F846" s="65"/>
      <c r="G846" s="67"/>
      <c r="H846" s="67"/>
    </row>
    <row r="847" ht="15.75" customHeight="1">
      <c r="A847" s="65"/>
      <c r="B847" s="65"/>
      <c r="C847" s="65"/>
      <c r="D847" s="65"/>
      <c r="E847" s="66"/>
      <c r="F847" s="65"/>
      <c r="G847" s="67"/>
      <c r="H847" s="67"/>
    </row>
    <row r="848" ht="15.75" customHeight="1">
      <c r="A848" s="65"/>
      <c r="B848" s="65"/>
      <c r="C848" s="65"/>
      <c r="D848" s="65"/>
      <c r="E848" s="66"/>
      <c r="F848" s="65"/>
      <c r="G848" s="67"/>
      <c r="H848" s="67"/>
    </row>
    <row r="849" ht="15.75" customHeight="1">
      <c r="A849" s="65"/>
      <c r="B849" s="65"/>
      <c r="C849" s="65"/>
      <c r="D849" s="65"/>
      <c r="E849" s="66"/>
      <c r="F849" s="65"/>
      <c r="G849" s="67"/>
      <c r="H849" s="67"/>
    </row>
    <row r="850" ht="15.75" customHeight="1">
      <c r="A850" s="65"/>
      <c r="B850" s="65"/>
      <c r="C850" s="65"/>
      <c r="D850" s="65"/>
      <c r="E850" s="66"/>
      <c r="F850" s="65"/>
      <c r="G850" s="67"/>
      <c r="H850" s="67"/>
    </row>
    <row r="851" ht="15.75" customHeight="1">
      <c r="A851" s="65"/>
      <c r="B851" s="65"/>
      <c r="C851" s="65"/>
      <c r="D851" s="65"/>
      <c r="E851" s="66"/>
      <c r="F851" s="65"/>
      <c r="G851" s="67"/>
      <c r="H851" s="67"/>
    </row>
    <row r="852" ht="15.75" customHeight="1">
      <c r="A852" s="65"/>
      <c r="B852" s="65"/>
      <c r="C852" s="65"/>
      <c r="D852" s="65"/>
      <c r="E852" s="66"/>
      <c r="F852" s="65"/>
      <c r="G852" s="67"/>
      <c r="H852" s="67"/>
    </row>
    <row r="853" ht="15.75" customHeight="1">
      <c r="A853" s="65"/>
      <c r="B853" s="65"/>
      <c r="C853" s="65"/>
      <c r="D853" s="65"/>
      <c r="E853" s="66"/>
      <c r="F853" s="65"/>
      <c r="G853" s="67"/>
      <c r="H853" s="67"/>
    </row>
    <row r="854" ht="15.75" customHeight="1">
      <c r="A854" s="65"/>
      <c r="B854" s="65"/>
      <c r="C854" s="65"/>
      <c r="D854" s="65"/>
      <c r="E854" s="66"/>
      <c r="F854" s="65"/>
      <c r="G854" s="67"/>
      <c r="H854" s="67"/>
    </row>
    <row r="855" ht="15.75" customHeight="1">
      <c r="A855" s="65"/>
      <c r="B855" s="65"/>
      <c r="C855" s="65"/>
      <c r="D855" s="65"/>
      <c r="E855" s="66"/>
      <c r="F855" s="65"/>
      <c r="G855" s="67"/>
      <c r="H855" s="67"/>
    </row>
    <row r="856" ht="15.75" customHeight="1">
      <c r="A856" s="65"/>
      <c r="B856" s="65"/>
      <c r="C856" s="65"/>
      <c r="D856" s="65"/>
      <c r="E856" s="66"/>
      <c r="F856" s="65"/>
      <c r="G856" s="67"/>
      <c r="H856" s="67"/>
    </row>
    <row r="857" ht="15.75" customHeight="1">
      <c r="A857" s="65"/>
      <c r="B857" s="65"/>
      <c r="C857" s="65"/>
      <c r="D857" s="65"/>
      <c r="E857" s="66"/>
      <c r="F857" s="65"/>
      <c r="G857" s="67"/>
      <c r="H857" s="67"/>
    </row>
    <row r="858" ht="15.75" customHeight="1">
      <c r="A858" s="65"/>
      <c r="B858" s="65"/>
      <c r="C858" s="65"/>
      <c r="D858" s="65"/>
      <c r="E858" s="66"/>
      <c r="F858" s="65"/>
      <c r="G858" s="67"/>
      <c r="H858" s="67"/>
    </row>
    <row r="859" ht="15.75" customHeight="1">
      <c r="A859" s="65"/>
      <c r="B859" s="65"/>
      <c r="C859" s="65"/>
      <c r="D859" s="65"/>
      <c r="E859" s="66"/>
      <c r="F859" s="65"/>
      <c r="G859" s="67"/>
      <c r="H859" s="67"/>
    </row>
    <row r="860" ht="15.75" customHeight="1">
      <c r="A860" s="65"/>
      <c r="B860" s="65"/>
      <c r="C860" s="65"/>
      <c r="D860" s="65"/>
      <c r="E860" s="66"/>
      <c r="F860" s="65"/>
      <c r="G860" s="67"/>
      <c r="H860" s="67"/>
    </row>
    <row r="861" ht="15.75" customHeight="1">
      <c r="A861" s="65"/>
      <c r="B861" s="65"/>
      <c r="C861" s="65"/>
      <c r="D861" s="65"/>
      <c r="E861" s="66"/>
      <c r="F861" s="65"/>
      <c r="G861" s="67"/>
      <c r="H861" s="67"/>
    </row>
    <row r="862" ht="15.75" customHeight="1">
      <c r="A862" s="65"/>
      <c r="B862" s="65"/>
      <c r="C862" s="65"/>
      <c r="D862" s="65"/>
      <c r="E862" s="66"/>
      <c r="F862" s="65"/>
      <c r="G862" s="67"/>
      <c r="H862" s="67"/>
    </row>
    <row r="863" ht="15.75" customHeight="1">
      <c r="A863" s="65"/>
      <c r="B863" s="65"/>
      <c r="C863" s="65"/>
      <c r="D863" s="65"/>
      <c r="E863" s="66"/>
      <c r="F863" s="65"/>
      <c r="G863" s="67"/>
      <c r="H863" s="67"/>
    </row>
    <row r="864" ht="15.75" customHeight="1">
      <c r="A864" s="65"/>
      <c r="B864" s="65"/>
      <c r="C864" s="65"/>
      <c r="D864" s="65"/>
      <c r="E864" s="66"/>
      <c r="F864" s="65"/>
      <c r="G864" s="67"/>
      <c r="H864" s="67"/>
    </row>
    <row r="865" ht="15.75" customHeight="1">
      <c r="A865" s="65"/>
      <c r="B865" s="65"/>
      <c r="C865" s="65"/>
      <c r="D865" s="65"/>
      <c r="E865" s="66"/>
      <c r="F865" s="65"/>
      <c r="G865" s="67"/>
      <c r="H865" s="67"/>
    </row>
    <row r="866" ht="15.75" customHeight="1">
      <c r="A866" s="65"/>
      <c r="B866" s="65"/>
      <c r="C866" s="65"/>
      <c r="D866" s="65"/>
      <c r="E866" s="66"/>
      <c r="F866" s="65"/>
      <c r="G866" s="67"/>
      <c r="H866" s="67"/>
    </row>
    <row r="867" ht="15.75" customHeight="1">
      <c r="A867" s="65"/>
      <c r="B867" s="65"/>
      <c r="C867" s="65"/>
      <c r="D867" s="65"/>
      <c r="E867" s="66"/>
      <c r="F867" s="65"/>
      <c r="G867" s="67"/>
      <c r="H867" s="67"/>
    </row>
    <row r="868" ht="15.75" customHeight="1">
      <c r="A868" s="65"/>
      <c r="B868" s="65"/>
      <c r="C868" s="65"/>
      <c r="D868" s="65"/>
      <c r="E868" s="66"/>
      <c r="F868" s="65"/>
      <c r="G868" s="67"/>
      <c r="H868" s="67"/>
    </row>
    <row r="869" ht="15.75" customHeight="1">
      <c r="A869" s="65"/>
      <c r="B869" s="65"/>
      <c r="C869" s="65"/>
      <c r="D869" s="65"/>
      <c r="E869" s="66"/>
      <c r="F869" s="65"/>
      <c r="G869" s="67"/>
      <c r="H869" s="67"/>
    </row>
    <row r="870" ht="15.75" customHeight="1">
      <c r="A870" s="65"/>
      <c r="B870" s="65"/>
      <c r="C870" s="65"/>
      <c r="D870" s="65"/>
      <c r="E870" s="66"/>
      <c r="F870" s="65"/>
      <c r="G870" s="67"/>
      <c r="H870" s="67"/>
    </row>
    <row r="871" ht="15.75" customHeight="1">
      <c r="A871" s="65"/>
      <c r="B871" s="65"/>
      <c r="C871" s="65"/>
      <c r="D871" s="65"/>
      <c r="E871" s="66"/>
      <c r="F871" s="65"/>
      <c r="G871" s="67"/>
      <c r="H871" s="67"/>
    </row>
    <row r="872" ht="15.75" customHeight="1">
      <c r="A872" s="65"/>
      <c r="B872" s="65"/>
      <c r="C872" s="65"/>
      <c r="D872" s="65"/>
      <c r="E872" s="66"/>
      <c r="F872" s="65"/>
      <c r="G872" s="67"/>
      <c r="H872" s="67"/>
    </row>
    <row r="873" ht="15.75" customHeight="1">
      <c r="A873" s="65"/>
      <c r="B873" s="65"/>
      <c r="C873" s="65"/>
      <c r="D873" s="65"/>
      <c r="E873" s="66"/>
      <c r="F873" s="65"/>
      <c r="G873" s="67"/>
      <c r="H873" s="67"/>
    </row>
    <row r="874" ht="15.75" customHeight="1">
      <c r="A874" s="65"/>
      <c r="B874" s="65"/>
      <c r="C874" s="65"/>
      <c r="D874" s="65"/>
      <c r="E874" s="66"/>
      <c r="F874" s="65"/>
      <c r="G874" s="67"/>
      <c r="H874" s="67"/>
    </row>
    <row r="875" ht="15.75" customHeight="1">
      <c r="A875" s="65"/>
      <c r="B875" s="65"/>
      <c r="C875" s="65"/>
      <c r="D875" s="65"/>
      <c r="E875" s="66"/>
      <c r="F875" s="65"/>
      <c r="G875" s="67"/>
      <c r="H875" s="67"/>
    </row>
    <row r="876" ht="15.75" customHeight="1">
      <c r="A876" s="65"/>
      <c r="B876" s="65"/>
      <c r="C876" s="65"/>
      <c r="D876" s="65"/>
      <c r="E876" s="66"/>
      <c r="F876" s="65"/>
      <c r="G876" s="67"/>
      <c r="H876" s="67"/>
    </row>
    <row r="877" ht="15.75" customHeight="1">
      <c r="A877" s="65"/>
      <c r="B877" s="65"/>
      <c r="C877" s="65"/>
      <c r="D877" s="65"/>
      <c r="E877" s="66"/>
      <c r="F877" s="65"/>
      <c r="G877" s="67"/>
      <c r="H877" s="67"/>
    </row>
    <row r="878" ht="15.75" customHeight="1">
      <c r="A878" s="65"/>
      <c r="B878" s="65"/>
      <c r="C878" s="65"/>
      <c r="D878" s="65"/>
      <c r="E878" s="66"/>
      <c r="F878" s="65"/>
      <c r="G878" s="67"/>
      <c r="H878" s="67"/>
    </row>
    <row r="879" ht="15.75" customHeight="1">
      <c r="A879" s="65"/>
      <c r="B879" s="65"/>
      <c r="C879" s="65"/>
      <c r="D879" s="65"/>
      <c r="E879" s="66"/>
      <c r="F879" s="65"/>
      <c r="G879" s="67"/>
      <c r="H879" s="67"/>
    </row>
    <row r="880" ht="15.75" customHeight="1">
      <c r="A880" s="65"/>
      <c r="B880" s="65"/>
      <c r="C880" s="65"/>
      <c r="D880" s="65"/>
      <c r="E880" s="66"/>
      <c r="F880" s="65"/>
      <c r="G880" s="67"/>
      <c r="H880" s="67"/>
    </row>
    <row r="881" ht="15.75" customHeight="1">
      <c r="A881" s="65"/>
      <c r="B881" s="65"/>
      <c r="C881" s="65"/>
      <c r="D881" s="65"/>
      <c r="E881" s="66"/>
      <c r="F881" s="65"/>
      <c r="G881" s="67"/>
      <c r="H881" s="67"/>
    </row>
    <row r="882" ht="15.75" customHeight="1">
      <c r="A882" s="65"/>
      <c r="B882" s="65"/>
      <c r="C882" s="65"/>
      <c r="D882" s="65"/>
      <c r="E882" s="66"/>
      <c r="F882" s="65"/>
      <c r="G882" s="67"/>
      <c r="H882" s="67"/>
    </row>
    <row r="883" ht="15.75" customHeight="1">
      <c r="A883" s="65"/>
      <c r="B883" s="65"/>
      <c r="C883" s="65"/>
      <c r="D883" s="65"/>
      <c r="E883" s="66"/>
      <c r="F883" s="65"/>
      <c r="G883" s="67"/>
      <c r="H883" s="67"/>
    </row>
    <row r="884" ht="15.75" customHeight="1">
      <c r="A884" s="65"/>
      <c r="B884" s="65"/>
      <c r="C884" s="65"/>
      <c r="D884" s="65"/>
      <c r="E884" s="66"/>
      <c r="F884" s="65"/>
      <c r="G884" s="67"/>
      <c r="H884" s="67"/>
    </row>
    <row r="885" ht="15.75" customHeight="1">
      <c r="A885" s="65"/>
      <c r="B885" s="65"/>
      <c r="C885" s="65"/>
      <c r="D885" s="65"/>
      <c r="E885" s="66"/>
      <c r="F885" s="65"/>
      <c r="G885" s="67"/>
      <c r="H885" s="67"/>
    </row>
    <row r="886" ht="15.75" customHeight="1">
      <c r="A886" s="65"/>
      <c r="B886" s="65"/>
      <c r="C886" s="65"/>
      <c r="D886" s="65"/>
      <c r="E886" s="66"/>
      <c r="F886" s="65"/>
      <c r="G886" s="67"/>
      <c r="H886" s="67"/>
    </row>
    <row r="887" ht="15.75" customHeight="1">
      <c r="A887" s="65"/>
      <c r="B887" s="65"/>
      <c r="C887" s="65"/>
      <c r="D887" s="65"/>
      <c r="E887" s="66"/>
      <c r="F887" s="65"/>
      <c r="G887" s="67"/>
      <c r="H887" s="67"/>
    </row>
    <row r="888" ht="15.75" customHeight="1">
      <c r="A888" s="65"/>
      <c r="B888" s="65"/>
      <c r="C888" s="65"/>
      <c r="D888" s="65"/>
      <c r="E888" s="66"/>
      <c r="F888" s="65"/>
      <c r="G888" s="67"/>
      <c r="H888" s="67"/>
    </row>
    <row r="889" ht="15.75" customHeight="1">
      <c r="A889" s="65"/>
      <c r="B889" s="65"/>
      <c r="C889" s="65"/>
      <c r="D889" s="65"/>
      <c r="E889" s="66"/>
      <c r="F889" s="65"/>
      <c r="G889" s="67"/>
      <c r="H889" s="67"/>
    </row>
    <row r="890" ht="15.75" customHeight="1">
      <c r="A890" s="65"/>
      <c r="B890" s="65"/>
      <c r="C890" s="65"/>
      <c r="D890" s="65"/>
      <c r="E890" s="66"/>
      <c r="F890" s="65"/>
      <c r="G890" s="67"/>
      <c r="H890" s="67"/>
    </row>
    <row r="891" ht="15.75" customHeight="1">
      <c r="A891" s="65"/>
      <c r="B891" s="65"/>
      <c r="C891" s="65"/>
      <c r="D891" s="65"/>
      <c r="E891" s="66"/>
      <c r="F891" s="65"/>
      <c r="G891" s="67"/>
      <c r="H891" s="67"/>
    </row>
    <row r="892" ht="15.75" customHeight="1">
      <c r="A892" s="65"/>
      <c r="B892" s="65"/>
      <c r="C892" s="65"/>
      <c r="D892" s="65"/>
      <c r="E892" s="66"/>
      <c r="F892" s="65"/>
      <c r="G892" s="67"/>
      <c r="H892" s="67"/>
    </row>
    <row r="893" ht="15.75" customHeight="1">
      <c r="A893" s="65"/>
      <c r="B893" s="65"/>
      <c r="C893" s="65"/>
      <c r="D893" s="65"/>
      <c r="E893" s="66"/>
      <c r="F893" s="65"/>
      <c r="G893" s="67"/>
      <c r="H893" s="67"/>
    </row>
    <row r="894" ht="15.75" customHeight="1">
      <c r="A894" s="65"/>
      <c r="B894" s="65"/>
      <c r="C894" s="65"/>
      <c r="D894" s="65"/>
      <c r="E894" s="66"/>
      <c r="F894" s="65"/>
      <c r="G894" s="67"/>
      <c r="H894" s="67"/>
    </row>
    <row r="895" ht="15.75" customHeight="1">
      <c r="A895" s="65"/>
      <c r="B895" s="65"/>
      <c r="C895" s="65"/>
      <c r="D895" s="65"/>
      <c r="E895" s="66"/>
      <c r="F895" s="65"/>
      <c r="G895" s="67"/>
      <c r="H895" s="67"/>
    </row>
    <row r="896" ht="15.75" customHeight="1">
      <c r="A896" s="65"/>
      <c r="B896" s="65"/>
      <c r="C896" s="65"/>
      <c r="D896" s="65"/>
      <c r="E896" s="66"/>
      <c r="F896" s="65"/>
      <c r="G896" s="67"/>
      <c r="H896" s="67"/>
    </row>
    <row r="897" ht="15.75" customHeight="1">
      <c r="A897" s="65"/>
      <c r="B897" s="65"/>
      <c r="C897" s="65"/>
      <c r="D897" s="65"/>
      <c r="E897" s="66"/>
      <c r="F897" s="65"/>
      <c r="G897" s="67"/>
      <c r="H897" s="67"/>
    </row>
    <row r="898" ht="15.75" customHeight="1">
      <c r="A898" s="65"/>
      <c r="B898" s="65"/>
      <c r="C898" s="65"/>
      <c r="D898" s="65"/>
      <c r="E898" s="66"/>
      <c r="F898" s="65"/>
      <c r="G898" s="67"/>
      <c r="H898" s="67"/>
    </row>
    <row r="899" ht="15.75" customHeight="1">
      <c r="A899" s="65"/>
      <c r="B899" s="65"/>
      <c r="C899" s="65"/>
      <c r="D899" s="65"/>
      <c r="E899" s="66"/>
      <c r="F899" s="65"/>
      <c r="G899" s="67"/>
      <c r="H899" s="67"/>
    </row>
    <row r="900" ht="15.75" customHeight="1">
      <c r="A900" s="65"/>
      <c r="B900" s="65"/>
      <c r="C900" s="65"/>
      <c r="D900" s="65"/>
      <c r="E900" s="66"/>
      <c r="F900" s="65"/>
      <c r="G900" s="67"/>
      <c r="H900" s="67"/>
    </row>
    <row r="901" ht="15.75" customHeight="1">
      <c r="A901" s="65"/>
      <c r="B901" s="65"/>
      <c r="C901" s="65"/>
      <c r="D901" s="65"/>
      <c r="E901" s="66"/>
      <c r="F901" s="65"/>
      <c r="G901" s="67"/>
      <c r="H901" s="67"/>
    </row>
    <row r="902" ht="15.75" customHeight="1">
      <c r="A902" s="65"/>
      <c r="B902" s="65"/>
      <c r="C902" s="65"/>
      <c r="D902" s="65"/>
      <c r="E902" s="66"/>
      <c r="F902" s="65"/>
      <c r="G902" s="67"/>
      <c r="H902" s="67"/>
    </row>
    <row r="903" ht="15.75" customHeight="1">
      <c r="A903" s="65"/>
      <c r="B903" s="65"/>
      <c r="C903" s="65"/>
      <c r="D903" s="65"/>
      <c r="E903" s="66"/>
      <c r="F903" s="65"/>
      <c r="G903" s="67"/>
      <c r="H903" s="67"/>
    </row>
    <row r="904" ht="15.75" customHeight="1">
      <c r="A904" s="65"/>
      <c r="B904" s="65"/>
      <c r="C904" s="65"/>
      <c r="D904" s="65"/>
      <c r="E904" s="66"/>
      <c r="F904" s="65"/>
      <c r="G904" s="67"/>
      <c r="H904" s="67"/>
    </row>
    <row r="905" ht="15.75" customHeight="1">
      <c r="A905" s="65"/>
      <c r="B905" s="65"/>
      <c r="C905" s="65"/>
      <c r="D905" s="65"/>
      <c r="E905" s="66"/>
      <c r="F905" s="65"/>
      <c r="G905" s="67"/>
      <c r="H905" s="67"/>
    </row>
    <row r="906" ht="15.75" customHeight="1">
      <c r="A906" s="65"/>
      <c r="B906" s="65"/>
      <c r="C906" s="65"/>
      <c r="D906" s="65"/>
      <c r="E906" s="66"/>
      <c r="F906" s="65"/>
      <c r="G906" s="67"/>
      <c r="H906" s="67"/>
    </row>
    <row r="907" ht="15.75" customHeight="1">
      <c r="A907" s="65"/>
      <c r="B907" s="65"/>
      <c r="C907" s="65"/>
      <c r="D907" s="65"/>
      <c r="E907" s="66"/>
      <c r="F907" s="65"/>
      <c r="G907" s="67"/>
      <c r="H907" s="67"/>
    </row>
    <row r="908" ht="15.75" customHeight="1">
      <c r="A908" s="65"/>
      <c r="B908" s="65"/>
      <c r="C908" s="65"/>
      <c r="D908" s="65"/>
      <c r="E908" s="66"/>
      <c r="F908" s="65"/>
      <c r="G908" s="67"/>
      <c r="H908" s="67"/>
    </row>
    <row r="909" ht="15.75" customHeight="1">
      <c r="A909" s="65"/>
      <c r="B909" s="65"/>
      <c r="C909" s="65"/>
      <c r="D909" s="65"/>
      <c r="E909" s="66"/>
      <c r="F909" s="65"/>
      <c r="G909" s="67"/>
      <c r="H909" s="67"/>
    </row>
    <row r="910" ht="15.75" customHeight="1">
      <c r="A910" s="65"/>
      <c r="B910" s="65"/>
      <c r="C910" s="65"/>
      <c r="D910" s="65"/>
      <c r="E910" s="66"/>
      <c r="F910" s="65"/>
      <c r="G910" s="67"/>
      <c r="H910" s="67"/>
    </row>
    <row r="911" ht="15.75" customHeight="1">
      <c r="A911" s="65"/>
      <c r="B911" s="65"/>
      <c r="C911" s="65"/>
      <c r="D911" s="65"/>
      <c r="E911" s="66"/>
      <c r="F911" s="65"/>
      <c r="G911" s="67"/>
      <c r="H911" s="67"/>
    </row>
    <row r="912" ht="15.75" customHeight="1">
      <c r="A912" s="65"/>
      <c r="B912" s="65"/>
      <c r="C912" s="65"/>
      <c r="D912" s="65"/>
      <c r="E912" s="66"/>
      <c r="F912" s="65"/>
      <c r="G912" s="67"/>
      <c r="H912" s="67"/>
    </row>
    <row r="913" ht="15.75" customHeight="1">
      <c r="A913" s="65"/>
      <c r="B913" s="65"/>
      <c r="C913" s="65"/>
      <c r="D913" s="65"/>
      <c r="E913" s="66"/>
      <c r="F913" s="65"/>
      <c r="G913" s="67"/>
      <c r="H913" s="67"/>
    </row>
    <row r="914" ht="15.75" customHeight="1">
      <c r="A914" s="65"/>
      <c r="B914" s="65"/>
      <c r="C914" s="65"/>
      <c r="D914" s="65"/>
      <c r="E914" s="66"/>
      <c r="F914" s="65"/>
      <c r="G914" s="67"/>
      <c r="H914" s="67"/>
    </row>
    <row r="915" ht="15.75" customHeight="1">
      <c r="A915" s="65"/>
      <c r="B915" s="65"/>
      <c r="C915" s="65"/>
      <c r="D915" s="65"/>
      <c r="E915" s="66"/>
      <c r="F915" s="65"/>
      <c r="G915" s="67"/>
      <c r="H915" s="67"/>
    </row>
    <row r="916" ht="15.75" customHeight="1">
      <c r="A916" s="65"/>
      <c r="B916" s="65"/>
      <c r="C916" s="65"/>
      <c r="D916" s="65"/>
      <c r="E916" s="66"/>
      <c r="F916" s="65"/>
      <c r="G916" s="67"/>
      <c r="H916" s="67"/>
    </row>
    <row r="917" ht="15.75" customHeight="1">
      <c r="A917" s="65"/>
      <c r="B917" s="65"/>
      <c r="C917" s="65"/>
      <c r="D917" s="65"/>
      <c r="E917" s="66"/>
      <c r="F917" s="65"/>
      <c r="G917" s="67"/>
      <c r="H917" s="67"/>
    </row>
    <row r="918" ht="15.75" customHeight="1">
      <c r="A918" s="65"/>
      <c r="B918" s="65"/>
      <c r="C918" s="65"/>
      <c r="D918" s="65"/>
      <c r="E918" s="66"/>
      <c r="F918" s="65"/>
      <c r="G918" s="67"/>
      <c r="H918" s="67"/>
    </row>
    <row r="919" ht="15.75" customHeight="1">
      <c r="A919" s="65"/>
      <c r="B919" s="65"/>
      <c r="C919" s="65"/>
      <c r="D919" s="65"/>
      <c r="E919" s="66"/>
      <c r="F919" s="65"/>
      <c r="G919" s="67"/>
      <c r="H919" s="67"/>
    </row>
    <row r="920" ht="15.75" customHeight="1">
      <c r="A920" s="65"/>
      <c r="B920" s="65"/>
      <c r="C920" s="65"/>
      <c r="D920" s="65"/>
      <c r="E920" s="66"/>
      <c r="F920" s="65"/>
      <c r="G920" s="67"/>
      <c r="H920" s="67"/>
    </row>
    <row r="921" ht="15.75" customHeight="1">
      <c r="A921" s="65"/>
      <c r="B921" s="65"/>
      <c r="C921" s="65"/>
      <c r="D921" s="65"/>
      <c r="E921" s="66"/>
      <c r="F921" s="65"/>
      <c r="G921" s="67"/>
      <c r="H921" s="67"/>
    </row>
    <row r="922" ht="15.75" customHeight="1">
      <c r="A922" s="65"/>
      <c r="B922" s="65"/>
      <c r="C922" s="65"/>
      <c r="D922" s="65"/>
      <c r="E922" s="66"/>
      <c r="F922" s="65"/>
      <c r="G922" s="67"/>
      <c r="H922" s="67"/>
    </row>
    <row r="923" ht="15.75" customHeight="1">
      <c r="A923" s="65"/>
      <c r="B923" s="65"/>
      <c r="C923" s="65"/>
      <c r="D923" s="65"/>
      <c r="E923" s="66"/>
      <c r="F923" s="65"/>
      <c r="G923" s="67"/>
      <c r="H923" s="67"/>
    </row>
    <row r="924" ht="15.75" customHeight="1">
      <c r="A924" s="65"/>
      <c r="B924" s="65"/>
      <c r="C924" s="65"/>
      <c r="D924" s="65"/>
      <c r="E924" s="66"/>
      <c r="F924" s="65"/>
      <c r="G924" s="67"/>
      <c r="H924" s="67"/>
    </row>
    <row r="925" ht="15.75" customHeight="1">
      <c r="A925" s="65"/>
      <c r="B925" s="65"/>
      <c r="C925" s="65"/>
      <c r="D925" s="65"/>
      <c r="E925" s="66"/>
      <c r="F925" s="65"/>
      <c r="G925" s="67"/>
      <c r="H925" s="67"/>
    </row>
    <row r="926" ht="15.75" customHeight="1">
      <c r="A926" s="65"/>
      <c r="B926" s="65"/>
      <c r="C926" s="65"/>
      <c r="D926" s="65"/>
      <c r="E926" s="66"/>
      <c r="F926" s="65"/>
      <c r="G926" s="67"/>
      <c r="H926" s="67"/>
    </row>
    <row r="927" ht="15.75" customHeight="1">
      <c r="A927" s="65"/>
      <c r="B927" s="65"/>
      <c r="C927" s="65"/>
      <c r="D927" s="65"/>
      <c r="E927" s="66"/>
      <c r="F927" s="65"/>
      <c r="G927" s="67"/>
      <c r="H927" s="67"/>
    </row>
    <row r="928" ht="15.75" customHeight="1">
      <c r="A928" s="65"/>
      <c r="B928" s="65"/>
      <c r="C928" s="65"/>
      <c r="D928" s="65"/>
      <c r="E928" s="66"/>
      <c r="F928" s="65"/>
      <c r="G928" s="67"/>
      <c r="H928" s="67"/>
    </row>
    <row r="929" ht="15.75" customHeight="1">
      <c r="A929" s="65"/>
      <c r="B929" s="65"/>
      <c r="C929" s="65"/>
      <c r="D929" s="65"/>
      <c r="E929" s="66"/>
      <c r="F929" s="65"/>
      <c r="G929" s="67"/>
      <c r="H929" s="67"/>
    </row>
    <row r="930" ht="15.75" customHeight="1">
      <c r="A930" s="65"/>
      <c r="B930" s="65"/>
      <c r="C930" s="65"/>
      <c r="D930" s="65"/>
      <c r="E930" s="66"/>
      <c r="F930" s="65"/>
      <c r="G930" s="67"/>
      <c r="H930" s="67"/>
    </row>
    <row r="931" ht="15.75" customHeight="1">
      <c r="A931" s="65"/>
      <c r="B931" s="65"/>
      <c r="C931" s="65"/>
      <c r="D931" s="65"/>
      <c r="E931" s="66"/>
      <c r="F931" s="65"/>
      <c r="G931" s="67"/>
      <c r="H931" s="67"/>
    </row>
    <row r="932" ht="15.75" customHeight="1">
      <c r="A932" s="65"/>
      <c r="B932" s="65"/>
      <c r="C932" s="65"/>
      <c r="D932" s="65"/>
      <c r="E932" s="66"/>
      <c r="F932" s="65"/>
      <c r="G932" s="67"/>
      <c r="H932" s="67"/>
    </row>
    <row r="933" ht="15.75" customHeight="1">
      <c r="A933" s="65"/>
      <c r="B933" s="65"/>
      <c r="C933" s="65"/>
      <c r="D933" s="65"/>
      <c r="E933" s="66"/>
      <c r="F933" s="65"/>
      <c r="G933" s="67"/>
      <c r="H933" s="67"/>
    </row>
    <row r="934" ht="15.75" customHeight="1">
      <c r="A934" s="65"/>
      <c r="B934" s="65"/>
      <c r="C934" s="65"/>
      <c r="D934" s="65"/>
      <c r="E934" s="66"/>
      <c r="F934" s="65"/>
      <c r="G934" s="67"/>
      <c r="H934" s="67"/>
    </row>
    <row r="935" ht="15.75" customHeight="1">
      <c r="A935" s="65"/>
      <c r="B935" s="65"/>
      <c r="C935" s="65"/>
      <c r="D935" s="65"/>
      <c r="E935" s="66"/>
      <c r="F935" s="65"/>
      <c r="G935" s="67"/>
      <c r="H935" s="67"/>
    </row>
    <row r="936" ht="15.75" customHeight="1">
      <c r="A936" s="65"/>
      <c r="B936" s="65"/>
      <c r="C936" s="65"/>
      <c r="D936" s="65"/>
      <c r="E936" s="66"/>
      <c r="F936" s="65"/>
      <c r="G936" s="67"/>
      <c r="H936" s="67"/>
    </row>
    <row r="937" ht="15.75" customHeight="1">
      <c r="A937" s="65"/>
      <c r="B937" s="65"/>
      <c r="C937" s="65"/>
      <c r="D937" s="65"/>
      <c r="E937" s="66"/>
      <c r="F937" s="65"/>
      <c r="G937" s="67"/>
      <c r="H937" s="67"/>
    </row>
    <row r="938" ht="15.75" customHeight="1">
      <c r="A938" s="65"/>
      <c r="B938" s="65"/>
      <c r="C938" s="65"/>
      <c r="D938" s="65"/>
      <c r="E938" s="66"/>
      <c r="F938" s="65"/>
      <c r="G938" s="67"/>
      <c r="H938" s="67"/>
    </row>
    <row r="939" ht="15.75" customHeight="1">
      <c r="A939" s="65"/>
      <c r="B939" s="65"/>
      <c r="C939" s="65"/>
      <c r="D939" s="65"/>
      <c r="E939" s="66"/>
      <c r="F939" s="65"/>
      <c r="G939" s="67"/>
      <c r="H939" s="67"/>
    </row>
    <row r="940" ht="15.75" customHeight="1">
      <c r="A940" s="65"/>
      <c r="B940" s="65"/>
      <c r="C940" s="65"/>
      <c r="D940" s="65"/>
      <c r="E940" s="66"/>
      <c r="F940" s="65"/>
      <c r="G940" s="67"/>
      <c r="H940" s="67"/>
    </row>
    <row r="941" ht="15.75" customHeight="1">
      <c r="A941" s="65"/>
      <c r="B941" s="65"/>
      <c r="C941" s="65"/>
      <c r="D941" s="65"/>
      <c r="E941" s="66"/>
      <c r="F941" s="65"/>
      <c r="G941" s="67"/>
      <c r="H941" s="67"/>
    </row>
    <row r="942" ht="15.75" customHeight="1">
      <c r="A942" s="65"/>
      <c r="B942" s="65"/>
      <c r="C942" s="65"/>
      <c r="D942" s="65"/>
      <c r="E942" s="66"/>
      <c r="F942" s="65"/>
      <c r="G942" s="67"/>
      <c r="H942" s="67"/>
    </row>
    <row r="943" ht="15.75" customHeight="1">
      <c r="A943" s="65"/>
      <c r="B943" s="65"/>
      <c r="C943" s="65"/>
      <c r="D943" s="65"/>
      <c r="E943" s="66"/>
      <c r="F943" s="65"/>
      <c r="G943" s="67"/>
      <c r="H943" s="67"/>
    </row>
    <row r="944" ht="15.75" customHeight="1">
      <c r="A944" s="65"/>
      <c r="B944" s="65"/>
      <c r="C944" s="65"/>
      <c r="D944" s="65"/>
      <c r="E944" s="66"/>
      <c r="F944" s="65"/>
      <c r="G944" s="67"/>
      <c r="H944" s="67"/>
    </row>
    <row r="945" ht="15.75" customHeight="1">
      <c r="A945" s="65"/>
      <c r="B945" s="65"/>
      <c r="C945" s="65"/>
      <c r="D945" s="65"/>
      <c r="E945" s="66"/>
      <c r="F945" s="65"/>
      <c r="G945" s="67"/>
      <c r="H945" s="67"/>
    </row>
    <row r="946" ht="15.75" customHeight="1">
      <c r="A946" s="65"/>
      <c r="B946" s="65"/>
      <c r="C946" s="65"/>
      <c r="D946" s="65"/>
      <c r="E946" s="66"/>
      <c r="F946" s="65"/>
      <c r="G946" s="67"/>
      <c r="H946" s="67"/>
    </row>
    <row r="947" ht="15.75" customHeight="1">
      <c r="A947" s="65"/>
      <c r="B947" s="65"/>
      <c r="C947" s="65"/>
      <c r="D947" s="65"/>
      <c r="E947" s="66"/>
      <c r="F947" s="65"/>
      <c r="G947" s="67"/>
      <c r="H947" s="67"/>
    </row>
    <row r="948" ht="15.75" customHeight="1">
      <c r="A948" s="65"/>
      <c r="B948" s="65"/>
      <c r="C948" s="65"/>
      <c r="D948" s="65"/>
      <c r="E948" s="66"/>
      <c r="F948" s="65"/>
      <c r="G948" s="67"/>
      <c r="H948" s="67"/>
    </row>
    <row r="949" ht="15.75" customHeight="1">
      <c r="A949" s="65"/>
      <c r="B949" s="65"/>
      <c r="C949" s="65"/>
      <c r="D949" s="65"/>
      <c r="E949" s="66"/>
      <c r="F949" s="65"/>
      <c r="G949" s="67"/>
      <c r="H949" s="67"/>
    </row>
    <row r="950" ht="15.75" customHeight="1">
      <c r="A950" s="65"/>
      <c r="B950" s="65"/>
      <c r="C950" s="65"/>
      <c r="D950" s="65"/>
      <c r="E950" s="66"/>
      <c r="F950" s="65"/>
      <c r="G950" s="67"/>
      <c r="H950" s="67"/>
    </row>
    <row r="951" ht="15.75" customHeight="1">
      <c r="A951" s="65"/>
      <c r="B951" s="65"/>
      <c r="C951" s="65"/>
      <c r="D951" s="65"/>
      <c r="E951" s="66"/>
      <c r="F951" s="65"/>
      <c r="G951" s="67"/>
      <c r="H951" s="67"/>
    </row>
    <row r="952" ht="15.75" customHeight="1">
      <c r="A952" s="65"/>
      <c r="B952" s="65"/>
      <c r="C952" s="65"/>
      <c r="D952" s="65"/>
      <c r="E952" s="66"/>
      <c r="F952" s="65"/>
      <c r="G952" s="67"/>
      <c r="H952" s="67"/>
    </row>
    <row r="953" ht="15.75" customHeight="1">
      <c r="A953" s="65"/>
      <c r="B953" s="65"/>
      <c r="C953" s="65"/>
      <c r="D953" s="65"/>
      <c r="E953" s="66"/>
      <c r="F953" s="65"/>
      <c r="G953" s="67"/>
      <c r="H953" s="67"/>
    </row>
    <row r="954" ht="15.75" customHeight="1">
      <c r="A954" s="65"/>
      <c r="B954" s="65"/>
      <c r="C954" s="65"/>
      <c r="D954" s="65"/>
      <c r="E954" s="66"/>
      <c r="F954" s="65"/>
      <c r="G954" s="67"/>
      <c r="H954" s="67"/>
    </row>
    <row r="955" ht="15.75" customHeight="1">
      <c r="A955" s="65"/>
      <c r="B955" s="65"/>
      <c r="C955" s="65"/>
      <c r="D955" s="65"/>
      <c r="E955" s="66"/>
      <c r="F955" s="65"/>
      <c r="G955" s="67"/>
      <c r="H955" s="67"/>
    </row>
    <row r="956" ht="15.75" customHeight="1">
      <c r="A956" s="65"/>
      <c r="B956" s="65"/>
      <c r="C956" s="65"/>
      <c r="D956" s="65"/>
      <c r="E956" s="66"/>
      <c r="F956" s="65"/>
      <c r="G956" s="67"/>
      <c r="H956" s="67"/>
    </row>
    <row r="957" ht="15.75" customHeight="1">
      <c r="A957" s="65"/>
      <c r="B957" s="65"/>
      <c r="C957" s="65"/>
      <c r="D957" s="65"/>
      <c r="E957" s="66"/>
      <c r="F957" s="65"/>
      <c r="G957" s="67"/>
      <c r="H957" s="67"/>
    </row>
    <row r="958" ht="15.75" customHeight="1">
      <c r="A958" s="65"/>
      <c r="B958" s="65"/>
      <c r="C958" s="65"/>
      <c r="D958" s="65"/>
      <c r="E958" s="66"/>
      <c r="F958" s="65"/>
      <c r="G958" s="67"/>
      <c r="H958" s="67"/>
    </row>
    <row r="959" ht="15.75" customHeight="1">
      <c r="A959" s="65"/>
      <c r="B959" s="65"/>
      <c r="C959" s="65"/>
      <c r="D959" s="65"/>
      <c r="E959" s="66"/>
      <c r="F959" s="65"/>
      <c r="G959" s="67"/>
      <c r="H959" s="67"/>
    </row>
    <row r="960" ht="15.75" customHeight="1">
      <c r="A960" s="65"/>
      <c r="B960" s="65"/>
      <c r="C960" s="65"/>
      <c r="D960" s="65"/>
      <c r="E960" s="66"/>
      <c r="F960" s="65"/>
      <c r="G960" s="67"/>
      <c r="H960" s="67"/>
    </row>
    <row r="961" ht="15.75" customHeight="1">
      <c r="A961" s="65"/>
      <c r="B961" s="65"/>
      <c r="C961" s="65"/>
      <c r="D961" s="65"/>
      <c r="E961" s="66"/>
      <c r="F961" s="65"/>
      <c r="G961" s="67"/>
      <c r="H961" s="67"/>
    </row>
    <row r="962" ht="15.75" customHeight="1">
      <c r="A962" s="65"/>
      <c r="B962" s="65"/>
      <c r="C962" s="65"/>
      <c r="D962" s="65"/>
      <c r="E962" s="66"/>
      <c r="F962" s="65"/>
      <c r="G962" s="67"/>
      <c r="H962" s="67"/>
    </row>
    <row r="963" ht="15.75" customHeight="1">
      <c r="A963" s="65"/>
      <c r="B963" s="65"/>
      <c r="C963" s="65"/>
      <c r="D963" s="65"/>
      <c r="E963" s="66"/>
      <c r="F963" s="65"/>
      <c r="G963" s="67"/>
      <c r="H963" s="67"/>
    </row>
    <row r="964" ht="15.75" customHeight="1">
      <c r="A964" s="65"/>
      <c r="B964" s="65"/>
      <c r="C964" s="65"/>
      <c r="D964" s="65"/>
      <c r="E964" s="66"/>
      <c r="F964" s="65"/>
      <c r="G964" s="67"/>
      <c r="H964" s="67"/>
    </row>
    <row r="965" ht="15.75" customHeight="1">
      <c r="A965" s="65"/>
      <c r="B965" s="65"/>
      <c r="C965" s="65"/>
      <c r="D965" s="65"/>
      <c r="E965" s="66"/>
      <c r="F965" s="65"/>
      <c r="G965" s="67"/>
      <c r="H965" s="67"/>
    </row>
    <row r="966" ht="15.75" customHeight="1">
      <c r="A966" s="65"/>
      <c r="B966" s="65"/>
      <c r="C966" s="65"/>
      <c r="D966" s="65"/>
      <c r="E966" s="66"/>
      <c r="F966" s="65"/>
      <c r="G966" s="67"/>
      <c r="H966" s="67"/>
    </row>
    <row r="967" ht="15.75" customHeight="1">
      <c r="A967" s="65"/>
      <c r="B967" s="65"/>
      <c r="C967" s="65"/>
      <c r="D967" s="65"/>
      <c r="E967" s="66"/>
      <c r="F967" s="65"/>
      <c r="G967" s="67"/>
      <c r="H967" s="67"/>
    </row>
    <row r="968" ht="15.75" customHeight="1">
      <c r="A968" s="65"/>
      <c r="B968" s="65"/>
      <c r="C968" s="65"/>
      <c r="D968" s="65"/>
      <c r="E968" s="66"/>
      <c r="F968" s="65"/>
      <c r="G968" s="67"/>
      <c r="H968" s="67"/>
    </row>
    <row r="969" ht="15.75" customHeight="1">
      <c r="A969" s="65"/>
      <c r="B969" s="65"/>
      <c r="C969" s="65"/>
      <c r="D969" s="65"/>
      <c r="E969" s="66"/>
      <c r="F969" s="65"/>
      <c r="G969" s="67"/>
      <c r="H969" s="67"/>
    </row>
    <row r="970" ht="15.75" customHeight="1">
      <c r="A970" s="65"/>
      <c r="B970" s="65"/>
      <c r="C970" s="65"/>
      <c r="D970" s="65"/>
      <c r="E970" s="66"/>
      <c r="F970" s="65"/>
      <c r="G970" s="67"/>
      <c r="H970" s="67"/>
    </row>
    <row r="971" ht="15.75" customHeight="1">
      <c r="A971" s="65"/>
      <c r="B971" s="65"/>
      <c r="C971" s="65"/>
      <c r="D971" s="65"/>
      <c r="E971" s="66"/>
      <c r="F971" s="65"/>
      <c r="G971" s="67"/>
      <c r="H971" s="67"/>
    </row>
    <row r="972" ht="15.75" customHeight="1">
      <c r="A972" s="65"/>
      <c r="B972" s="65"/>
      <c r="C972" s="65"/>
      <c r="D972" s="65"/>
      <c r="E972" s="66"/>
      <c r="F972" s="65"/>
      <c r="G972" s="67"/>
      <c r="H972" s="67"/>
    </row>
    <row r="973" ht="15.75" customHeight="1">
      <c r="A973" s="65"/>
      <c r="B973" s="65"/>
      <c r="C973" s="65"/>
      <c r="D973" s="65"/>
      <c r="E973" s="66"/>
      <c r="F973" s="65"/>
      <c r="G973" s="67"/>
      <c r="H973" s="67"/>
    </row>
    <row r="974" ht="15.75" customHeight="1">
      <c r="A974" s="65"/>
      <c r="B974" s="65"/>
      <c r="C974" s="65"/>
      <c r="D974" s="65"/>
      <c r="E974" s="66"/>
      <c r="F974" s="65"/>
      <c r="G974" s="67"/>
      <c r="H974" s="67"/>
    </row>
    <row r="975" ht="15.75" customHeight="1">
      <c r="A975" s="65"/>
      <c r="B975" s="65"/>
      <c r="C975" s="65"/>
      <c r="D975" s="65"/>
      <c r="E975" s="66"/>
      <c r="F975" s="65"/>
      <c r="G975" s="67"/>
      <c r="H975" s="67"/>
    </row>
    <row r="976" ht="15.75" customHeight="1">
      <c r="A976" s="65"/>
      <c r="B976" s="65"/>
      <c r="C976" s="65"/>
      <c r="D976" s="65"/>
      <c r="E976" s="66"/>
      <c r="F976" s="65"/>
      <c r="G976" s="67"/>
      <c r="H976" s="67"/>
    </row>
    <row r="977" ht="15.75" customHeight="1">
      <c r="A977" s="65"/>
      <c r="B977" s="65"/>
      <c r="C977" s="65"/>
      <c r="D977" s="65"/>
      <c r="E977" s="66"/>
      <c r="F977" s="65"/>
      <c r="G977" s="67"/>
      <c r="H977" s="67"/>
    </row>
    <row r="978" ht="15.75" customHeight="1">
      <c r="A978" s="65"/>
      <c r="B978" s="65"/>
      <c r="C978" s="65"/>
      <c r="D978" s="65"/>
      <c r="E978" s="66"/>
      <c r="F978" s="65"/>
      <c r="G978" s="67"/>
      <c r="H978" s="67"/>
    </row>
    <row r="979" ht="15.75" customHeight="1">
      <c r="A979" s="65"/>
      <c r="B979" s="65"/>
      <c r="C979" s="65"/>
      <c r="D979" s="65"/>
      <c r="E979" s="66"/>
      <c r="F979" s="65"/>
      <c r="G979" s="67"/>
      <c r="H979" s="67"/>
    </row>
    <row r="980" ht="15.75" customHeight="1">
      <c r="A980" s="65"/>
      <c r="B980" s="65"/>
      <c r="C980" s="65"/>
      <c r="D980" s="65"/>
      <c r="E980" s="66"/>
      <c r="F980" s="65"/>
      <c r="G980" s="67"/>
      <c r="H980" s="67"/>
    </row>
    <row r="981" ht="15.75" customHeight="1">
      <c r="A981" s="65"/>
      <c r="B981" s="65"/>
      <c r="C981" s="65"/>
      <c r="D981" s="65"/>
      <c r="E981" s="66"/>
      <c r="F981" s="65"/>
      <c r="G981" s="67"/>
      <c r="H981" s="67"/>
    </row>
    <row r="982" ht="15.75" customHeight="1">
      <c r="A982" s="65"/>
      <c r="B982" s="65"/>
      <c r="C982" s="65"/>
      <c r="D982" s="65"/>
      <c r="E982" s="66"/>
      <c r="F982" s="65"/>
      <c r="G982" s="67"/>
      <c r="H982" s="67"/>
    </row>
  </sheetData>
  <autoFilter ref="$A$1:$Z$241">
    <filterColumn colId="2">
      <filters>
        <filter val="DF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9.43"/>
    <col customWidth="1" min="2" max="2" width="37.71"/>
    <col customWidth="1" min="3" max="3" width="14.86"/>
    <col customWidth="1" min="4" max="4" width="24.29"/>
    <col customWidth="1" min="5" max="5" width="81.71"/>
    <col customWidth="1" min="6" max="6" width="39.14"/>
    <col customWidth="1" min="7" max="7" width="93.43"/>
    <col customWidth="1" min="8" max="8" width="18.71"/>
    <col customWidth="1" min="9" max="26" width="11.0"/>
  </cols>
  <sheetData>
    <row r="1">
      <c r="A1" s="20" t="s">
        <v>140</v>
      </c>
      <c r="B1" s="68" t="s">
        <v>141</v>
      </c>
      <c r="C1" s="68" t="s">
        <v>142</v>
      </c>
      <c r="D1" s="68" t="s">
        <v>143</v>
      </c>
      <c r="E1" s="69" t="s">
        <v>144</v>
      </c>
      <c r="F1" s="70" t="s">
        <v>145</v>
      </c>
      <c r="G1" s="71" t="s">
        <v>146</v>
      </c>
      <c r="H1" s="20" t="s">
        <v>147</v>
      </c>
    </row>
    <row r="2" ht="22.5" customHeight="1">
      <c r="A2" s="25" t="s">
        <v>967</v>
      </c>
      <c r="B2" s="26">
        <v>5.52121328868E11</v>
      </c>
      <c r="C2" s="26" t="s">
        <v>149</v>
      </c>
      <c r="D2" s="26" t="s">
        <v>624</v>
      </c>
      <c r="E2" s="27" t="s">
        <v>5</v>
      </c>
      <c r="F2" s="26" t="s">
        <v>968</v>
      </c>
      <c r="G2" s="25" t="s">
        <v>969</v>
      </c>
      <c r="H2" s="26" t="s">
        <v>970</v>
      </c>
    </row>
    <row r="3" ht="22.5" customHeight="1">
      <c r="A3" s="25" t="s">
        <v>971</v>
      </c>
      <c r="B3" s="26">
        <v>5.52124912351E11</v>
      </c>
      <c r="C3" s="26" t="s">
        <v>149</v>
      </c>
      <c r="D3" s="26" t="s">
        <v>624</v>
      </c>
      <c r="E3" s="27" t="s">
        <v>972</v>
      </c>
      <c r="F3" s="26" t="s">
        <v>151</v>
      </c>
      <c r="G3" s="25" t="s">
        <v>973</v>
      </c>
      <c r="H3" s="29"/>
    </row>
    <row r="4" ht="22.5" customHeight="1">
      <c r="A4" s="28" t="s">
        <v>974</v>
      </c>
      <c r="B4" s="26">
        <v>5.52134002161E11</v>
      </c>
      <c r="C4" s="26" t="s">
        <v>149</v>
      </c>
      <c r="D4" s="26" t="s">
        <v>624</v>
      </c>
      <c r="E4" s="27" t="s">
        <v>551</v>
      </c>
      <c r="F4" s="26" t="s">
        <v>151</v>
      </c>
      <c r="G4" s="25" t="s">
        <v>975</v>
      </c>
      <c r="H4" s="29"/>
    </row>
    <row r="5" ht="22.5" customHeight="1">
      <c r="A5" s="28" t="s">
        <v>976</v>
      </c>
      <c r="B5" s="29">
        <f>551138328887</f>
        <v>551138328887</v>
      </c>
      <c r="C5" s="26" t="s">
        <v>155</v>
      </c>
      <c r="D5" s="26" t="s">
        <v>176</v>
      </c>
      <c r="E5" s="27" t="s">
        <v>11</v>
      </c>
      <c r="F5" s="26" t="s">
        <v>151</v>
      </c>
      <c r="G5" s="25" t="s">
        <v>977</v>
      </c>
      <c r="H5" s="29"/>
    </row>
    <row r="6" ht="22.5" customHeight="1">
      <c r="A6" s="72" t="s">
        <v>978</v>
      </c>
      <c r="B6" s="29">
        <f>+551137740203</f>
        <v>551137740203</v>
      </c>
      <c r="C6" s="26" t="s">
        <v>155</v>
      </c>
      <c r="D6" s="26" t="s">
        <v>176</v>
      </c>
      <c r="E6" s="27" t="s">
        <v>979</v>
      </c>
      <c r="F6" s="26" t="s">
        <v>151</v>
      </c>
      <c r="G6" s="25" t="s">
        <v>980</v>
      </c>
      <c r="H6" s="29"/>
    </row>
    <row r="7" ht="22.5" customHeight="1">
      <c r="A7" s="25" t="s">
        <v>981</v>
      </c>
      <c r="B7" s="26">
        <f>554833809606</f>
        <v>554833809606</v>
      </c>
      <c r="C7" s="26" t="s">
        <v>160</v>
      </c>
      <c r="D7" s="26" t="s">
        <v>327</v>
      </c>
      <c r="E7" s="27">
        <v>130.0</v>
      </c>
      <c r="F7" s="26" t="s">
        <v>982</v>
      </c>
      <c r="G7" s="25" t="s">
        <v>983</v>
      </c>
      <c r="H7" s="29"/>
    </row>
    <row r="8" ht="22.5" customHeight="1">
      <c r="A8" s="73" t="s">
        <v>984</v>
      </c>
      <c r="B8" s="29">
        <f>5548991473605</f>
        <v>5548991473605</v>
      </c>
      <c r="C8" s="26" t="s">
        <v>160</v>
      </c>
      <c r="D8" s="26" t="s">
        <v>327</v>
      </c>
      <c r="E8" s="27" t="s">
        <v>985</v>
      </c>
      <c r="F8" s="26" t="s">
        <v>982</v>
      </c>
      <c r="G8" s="25" t="s">
        <v>986</v>
      </c>
      <c r="H8" s="26"/>
    </row>
    <row r="9" ht="22.5" customHeight="1">
      <c r="A9" s="25" t="s">
        <v>987</v>
      </c>
      <c r="B9" s="26" t="s">
        <v>988</v>
      </c>
      <c r="C9" s="26" t="s">
        <v>160</v>
      </c>
      <c r="D9" s="26" t="s">
        <v>161</v>
      </c>
      <c r="E9" s="27" t="s">
        <v>989</v>
      </c>
      <c r="F9" s="26" t="s">
        <v>982</v>
      </c>
      <c r="G9" s="25" t="s">
        <v>990</v>
      </c>
      <c r="H9" s="29"/>
    </row>
    <row r="10" ht="22.5" customHeight="1">
      <c r="A10" s="25" t="s">
        <v>991</v>
      </c>
      <c r="B10" s="26" t="s">
        <v>992</v>
      </c>
      <c r="C10" s="26" t="s">
        <v>361</v>
      </c>
      <c r="D10" s="26" t="s">
        <v>362</v>
      </c>
      <c r="E10" s="27" t="s">
        <v>993</v>
      </c>
      <c r="F10" s="26" t="s">
        <v>162</v>
      </c>
      <c r="G10" s="25" t="s">
        <v>994</v>
      </c>
      <c r="H10" s="48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22.5" customHeight="1">
      <c r="A11" s="25" t="s">
        <v>995</v>
      </c>
      <c r="B11" s="26" t="s">
        <v>996</v>
      </c>
      <c r="C11" s="26" t="s">
        <v>361</v>
      </c>
      <c r="D11" s="26" t="s">
        <v>997</v>
      </c>
      <c r="E11" s="27" t="s">
        <v>998</v>
      </c>
      <c r="F11" s="26" t="s">
        <v>151</v>
      </c>
      <c r="G11" s="25" t="s">
        <v>999</v>
      </c>
      <c r="H11" s="29"/>
    </row>
    <row r="12" ht="22.5" customHeight="1">
      <c r="A12" s="25" t="s">
        <v>1000</v>
      </c>
      <c r="B12" s="26">
        <v>5.5314103606E11</v>
      </c>
      <c r="C12" s="26" t="s">
        <v>166</v>
      </c>
      <c r="D12" s="26" t="s">
        <v>1001</v>
      </c>
      <c r="E12" s="27" t="s">
        <v>1002</v>
      </c>
      <c r="F12" s="26" t="s">
        <v>151</v>
      </c>
      <c r="G12" s="25" t="s">
        <v>1003</v>
      </c>
      <c r="H12" s="29"/>
    </row>
    <row r="13" ht="22.5" customHeight="1">
      <c r="A13" s="25" t="s">
        <v>1004</v>
      </c>
      <c r="B13" s="26">
        <v>5.5483322339E11</v>
      </c>
      <c r="C13" s="26" t="s">
        <v>160</v>
      </c>
      <c r="D13" s="26" t="s">
        <v>327</v>
      </c>
      <c r="E13" s="27" t="s">
        <v>1005</v>
      </c>
      <c r="F13" s="26" t="s">
        <v>162</v>
      </c>
      <c r="G13" s="25" t="s">
        <v>1006</v>
      </c>
      <c r="H13" s="29"/>
    </row>
    <row r="14" ht="22.5" customHeight="1">
      <c r="A14" s="25" t="s">
        <v>1007</v>
      </c>
      <c r="B14" s="26" t="s">
        <v>1008</v>
      </c>
      <c r="C14" s="26" t="s">
        <v>166</v>
      </c>
      <c r="D14" s="26" t="s">
        <v>353</v>
      </c>
      <c r="E14" s="27" t="s">
        <v>1009</v>
      </c>
      <c r="F14" s="26" t="s">
        <v>182</v>
      </c>
      <c r="G14" s="25" t="s">
        <v>1010</v>
      </c>
      <c r="H14" s="29"/>
    </row>
    <row r="15" ht="22.5" customHeight="1">
      <c r="A15" s="25" t="s">
        <v>1011</v>
      </c>
      <c r="B15" s="26" t="s">
        <v>1012</v>
      </c>
      <c r="C15" s="26" t="s">
        <v>361</v>
      </c>
      <c r="D15" s="26" t="s">
        <v>362</v>
      </c>
      <c r="E15" s="27" t="s">
        <v>1013</v>
      </c>
      <c r="F15" s="26" t="s">
        <v>982</v>
      </c>
      <c r="G15" s="25" t="s">
        <v>1014</v>
      </c>
      <c r="H15" s="29"/>
    </row>
    <row r="16" ht="22.5" customHeight="1">
      <c r="A16" s="25" t="s">
        <v>1015</v>
      </c>
      <c r="B16" s="26">
        <v>5.53136462214E11</v>
      </c>
      <c r="C16" s="26" t="s">
        <v>166</v>
      </c>
      <c r="D16" s="26" t="s">
        <v>1016</v>
      </c>
      <c r="E16" s="27" t="s">
        <v>1017</v>
      </c>
      <c r="F16" s="26" t="s">
        <v>982</v>
      </c>
      <c r="G16" s="25" t="s">
        <v>1018</v>
      </c>
      <c r="H16" s="29"/>
    </row>
    <row r="17" ht="22.5" customHeight="1">
      <c r="A17" s="25" t="s">
        <v>1019</v>
      </c>
      <c r="B17" s="26" t="s">
        <v>1020</v>
      </c>
      <c r="C17" s="26" t="s">
        <v>180</v>
      </c>
      <c r="D17" s="26" t="s">
        <v>1021</v>
      </c>
      <c r="E17" s="27">
        <v>160.0</v>
      </c>
      <c r="F17" s="26" t="s">
        <v>1022</v>
      </c>
      <c r="G17" s="25" t="s">
        <v>1023</v>
      </c>
      <c r="H17" s="26" t="s">
        <v>970</v>
      </c>
    </row>
    <row r="18" ht="22.5" customHeight="1">
      <c r="A18" s="72" t="s">
        <v>1024</v>
      </c>
      <c r="B18" s="26">
        <v>5.57133456041E11</v>
      </c>
      <c r="C18" s="26" t="s">
        <v>180</v>
      </c>
      <c r="D18" s="26" t="s">
        <v>461</v>
      </c>
      <c r="E18" s="27" t="s">
        <v>1025</v>
      </c>
      <c r="F18" s="26" t="s">
        <v>225</v>
      </c>
      <c r="G18" s="25" t="s">
        <v>1026</v>
      </c>
      <c r="H18" s="29"/>
    </row>
    <row r="19" ht="22.5" customHeight="1">
      <c r="A19" s="25" t="s">
        <v>1027</v>
      </c>
      <c r="B19" s="29">
        <f>+552132534405</f>
        <v>552132534405</v>
      </c>
      <c r="C19" s="26" t="s">
        <v>149</v>
      </c>
      <c r="D19" s="26" t="s">
        <v>624</v>
      </c>
      <c r="E19" s="27" t="s">
        <v>1028</v>
      </c>
      <c r="F19" s="26" t="s">
        <v>151</v>
      </c>
      <c r="G19" s="25" t="s">
        <v>1029</v>
      </c>
      <c r="H19" s="29"/>
    </row>
    <row r="20" ht="22.5" customHeight="1">
      <c r="A20" s="25" t="s">
        <v>1030</v>
      </c>
      <c r="B20" s="29">
        <f>+552125564945</f>
        <v>552125564945</v>
      </c>
      <c r="C20" s="26" t="s">
        <v>149</v>
      </c>
      <c r="D20" s="26" t="s">
        <v>624</v>
      </c>
      <c r="E20" s="27" t="s">
        <v>1031</v>
      </c>
      <c r="F20" s="26" t="s">
        <v>151</v>
      </c>
      <c r="G20" s="25" t="s">
        <v>1032</v>
      </c>
      <c r="H20" s="29"/>
    </row>
    <row r="21" ht="22.5" customHeight="1">
      <c r="A21" s="25" t="s">
        <v>1033</v>
      </c>
      <c r="B21" s="29">
        <f>+552125711464</f>
        <v>552125711464</v>
      </c>
      <c r="C21" s="26" t="s">
        <v>149</v>
      </c>
      <c r="D21" s="26" t="s">
        <v>624</v>
      </c>
      <c r="E21" s="27" t="s">
        <v>1034</v>
      </c>
      <c r="F21" s="26" t="s">
        <v>151</v>
      </c>
      <c r="G21" s="25" t="s">
        <v>1035</v>
      </c>
      <c r="H21" s="29"/>
    </row>
    <row r="22" ht="22.5" customHeight="1">
      <c r="A22" s="25" t="s">
        <v>1036</v>
      </c>
      <c r="B22" s="26">
        <v>5.5213579003E11</v>
      </c>
      <c r="C22" s="26" t="s">
        <v>149</v>
      </c>
      <c r="D22" s="26" t="s">
        <v>624</v>
      </c>
      <c r="E22" s="27" t="s">
        <v>1037</v>
      </c>
      <c r="F22" s="26" t="s">
        <v>151</v>
      </c>
      <c r="G22" s="25" t="s">
        <v>1038</v>
      </c>
      <c r="H22" s="29"/>
    </row>
    <row r="23" ht="22.5" customHeight="1">
      <c r="A23" s="25" t="s">
        <v>1039</v>
      </c>
      <c r="B23" s="26">
        <v>5.52122892596E11</v>
      </c>
      <c r="C23" s="26" t="s">
        <v>149</v>
      </c>
      <c r="D23" s="26" t="s">
        <v>624</v>
      </c>
      <c r="E23" s="27" t="s">
        <v>1040</v>
      </c>
      <c r="F23" s="26" t="s">
        <v>151</v>
      </c>
      <c r="G23" s="25" t="s">
        <v>1041</v>
      </c>
      <c r="H23" s="29"/>
    </row>
    <row r="24" ht="22.5" customHeight="1">
      <c r="A24" s="25" t="s">
        <v>1042</v>
      </c>
      <c r="B24" s="29">
        <f>+554832842102</f>
        <v>554832842102</v>
      </c>
      <c r="C24" s="26" t="s">
        <v>160</v>
      </c>
      <c r="D24" s="26" t="s">
        <v>327</v>
      </c>
      <c r="E24" s="27" t="s">
        <v>11</v>
      </c>
      <c r="F24" s="26" t="s">
        <v>151</v>
      </c>
      <c r="G24" s="25" t="s">
        <v>1043</v>
      </c>
      <c r="H24" s="26" t="s">
        <v>970</v>
      </c>
    </row>
    <row r="25" ht="22.5" customHeight="1">
      <c r="A25" s="74" t="s">
        <v>1044</v>
      </c>
      <c r="B25" s="36">
        <f>+551932417765</f>
        <v>551932417765</v>
      </c>
      <c r="C25" s="31" t="s">
        <v>155</v>
      </c>
      <c r="D25" s="31" t="s">
        <v>1045</v>
      </c>
      <c r="E25" s="32" t="s">
        <v>332</v>
      </c>
      <c r="F25" s="31" t="s">
        <v>151</v>
      </c>
      <c r="G25" s="33" t="s">
        <v>1046</v>
      </c>
      <c r="H25" s="29"/>
    </row>
    <row r="26" ht="22.5" customHeight="1">
      <c r="A26" s="74" t="s">
        <v>1047</v>
      </c>
      <c r="B26" s="31" t="s">
        <v>1048</v>
      </c>
      <c r="C26" s="31" t="s">
        <v>170</v>
      </c>
      <c r="D26" s="31" t="s">
        <v>171</v>
      </c>
      <c r="E26" s="32" t="s">
        <v>108</v>
      </c>
      <c r="F26" s="31" t="s">
        <v>151</v>
      </c>
      <c r="G26" s="33" t="s">
        <v>1049</v>
      </c>
      <c r="H26" s="29"/>
    </row>
    <row r="27" ht="22.5" customHeight="1">
      <c r="A27" s="34" t="s">
        <v>174</v>
      </c>
      <c r="B27" s="31" t="s">
        <v>175</v>
      </c>
      <c r="C27" s="31" t="s">
        <v>155</v>
      </c>
      <c r="D27" s="31" t="s">
        <v>176</v>
      </c>
      <c r="E27" s="32" t="s">
        <v>19</v>
      </c>
      <c r="F27" s="31" t="s">
        <v>151</v>
      </c>
      <c r="G27" s="33" t="s">
        <v>177</v>
      </c>
      <c r="H27" s="29"/>
    </row>
    <row r="28" ht="22.5" customHeight="1">
      <c r="A28" s="44" t="s">
        <v>1050</v>
      </c>
      <c r="B28" s="31">
        <v>5.51144131284E11</v>
      </c>
      <c r="C28" s="36" t="s">
        <v>155</v>
      </c>
      <c r="D28" s="36" t="s">
        <v>156</v>
      </c>
      <c r="E28" s="32" t="s">
        <v>1051</v>
      </c>
      <c r="F28" s="36" t="s">
        <v>182</v>
      </c>
      <c r="G28" s="38" t="s">
        <v>1052</v>
      </c>
      <c r="H28" s="29"/>
    </row>
    <row r="29" ht="22.5" customHeight="1">
      <c r="A29" s="25" t="s">
        <v>1053</v>
      </c>
      <c r="B29" s="26">
        <v>5.561325789E11</v>
      </c>
      <c r="C29" s="31" t="s">
        <v>963</v>
      </c>
      <c r="D29" s="31" t="s">
        <v>837</v>
      </c>
      <c r="E29" s="32" t="s">
        <v>15</v>
      </c>
      <c r="F29" s="31" t="s">
        <v>151</v>
      </c>
      <c r="G29" s="33" t="s">
        <v>1054</v>
      </c>
      <c r="H29" s="29"/>
    </row>
    <row r="30" ht="22.5" customHeight="1">
      <c r="A30" s="25" t="s">
        <v>1055</v>
      </c>
      <c r="B30" s="31">
        <v>5.57132484644E11</v>
      </c>
      <c r="C30" s="31" t="s">
        <v>180</v>
      </c>
      <c r="D30" s="31" t="s">
        <v>461</v>
      </c>
      <c r="E30" s="32" t="s">
        <v>1056</v>
      </c>
      <c r="F30" s="31" t="s">
        <v>151</v>
      </c>
      <c r="G30" s="33" t="s">
        <v>1057</v>
      </c>
      <c r="H30" s="29"/>
    </row>
    <row r="31" ht="22.5" customHeight="1">
      <c r="A31" s="25" t="s">
        <v>1058</v>
      </c>
      <c r="B31" s="26">
        <v>5.58221216464E11</v>
      </c>
      <c r="C31" s="31" t="s">
        <v>248</v>
      </c>
      <c r="D31" s="31" t="s">
        <v>249</v>
      </c>
      <c r="E31" s="32" t="s">
        <v>37</v>
      </c>
      <c r="F31" s="31" t="s">
        <v>151</v>
      </c>
      <c r="G31" s="33" t="s">
        <v>1059</v>
      </c>
      <c r="H31" s="29"/>
    </row>
    <row r="32" ht="22.5" customHeight="1">
      <c r="A32" s="28" t="s">
        <v>1060</v>
      </c>
      <c r="B32" s="31" t="s">
        <v>1061</v>
      </c>
      <c r="C32" s="31" t="s">
        <v>248</v>
      </c>
      <c r="D32" s="31" t="s">
        <v>249</v>
      </c>
      <c r="E32" s="32" t="s">
        <v>1062</v>
      </c>
      <c r="F32" s="31" t="s">
        <v>1063</v>
      </c>
      <c r="G32" s="33" t="s">
        <v>1064</v>
      </c>
      <c r="H32" s="29"/>
    </row>
    <row r="33" ht="22.5" customHeight="1">
      <c r="A33" s="25" t="s">
        <v>1065</v>
      </c>
      <c r="B33" s="26">
        <v>5.58233371241E11</v>
      </c>
      <c r="C33" s="31" t="s">
        <v>248</v>
      </c>
      <c r="D33" s="31" t="s">
        <v>249</v>
      </c>
      <c r="E33" s="32" t="s">
        <v>72</v>
      </c>
      <c r="F33" s="31" t="s">
        <v>151</v>
      </c>
      <c r="G33" s="33" t="s">
        <v>1066</v>
      </c>
      <c r="H33" s="29"/>
    </row>
    <row r="34" ht="22.5" customHeight="1">
      <c r="A34" s="25" t="s">
        <v>1067</v>
      </c>
      <c r="B34" s="26">
        <v>5.584988801976E12</v>
      </c>
      <c r="C34" s="31" t="s">
        <v>544</v>
      </c>
      <c r="D34" s="31" t="s">
        <v>1068</v>
      </c>
      <c r="E34" s="32" t="s">
        <v>106</v>
      </c>
      <c r="F34" s="31" t="s">
        <v>151</v>
      </c>
      <c r="G34" s="33" t="s">
        <v>1069</v>
      </c>
      <c r="H34" s="29"/>
    </row>
    <row r="35" ht="22.5" customHeight="1">
      <c r="A35" s="25" t="s">
        <v>1070</v>
      </c>
      <c r="B35" s="26">
        <v>5.52226489873E11</v>
      </c>
      <c r="C35" s="31" t="s">
        <v>149</v>
      </c>
      <c r="D35" s="31" t="s">
        <v>779</v>
      </c>
      <c r="E35" s="32" t="s">
        <v>1071</v>
      </c>
      <c r="F35" s="31" t="s">
        <v>182</v>
      </c>
      <c r="G35" s="33" t="s">
        <v>1072</v>
      </c>
      <c r="H35" s="29"/>
    </row>
    <row r="36" ht="22.5" customHeight="1">
      <c r="A36" s="25" t="s">
        <v>1073</v>
      </c>
      <c r="B36" s="26">
        <v>5.541340264E11</v>
      </c>
      <c r="C36" s="31" t="s">
        <v>194</v>
      </c>
      <c r="D36" s="31" t="s">
        <v>195</v>
      </c>
      <c r="E36" s="32" t="s">
        <v>1074</v>
      </c>
      <c r="F36" s="31" t="s">
        <v>151</v>
      </c>
      <c r="G36" s="33" t="s">
        <v>1075</v>
      </c>
      <c r="H36" s="29"/>
    </row>
    <row r="37">
      <c r="A37" s="28" t="s">
        <v>1076</v>
      </c>
      <c r="B37" s="26">
        <v>5.54133522662E11</v>
      </c>
      <c r="C37" s="31" t="s">
        <v>194</v>
      </c>
      <c r="D37" s="31" t="s">
        <v>195</v>
      </c>
      <c r="E37" s="32" t="s">
        <v>1077</v>
      </c>
      <c r="F37" s="31" t="s">
        <v>151</v>
      </c>
      <c r="G37" s="33" t="s">
        <v>1078</v>
      </c>
      <c r="H37" s="29"/>
    </row>
    <row r="38" ht="22.5" customHeight="1">
      <c r="A38" s="25" t="s">
        <v>1079</v>
      </c>
      <c r="B38" s="26" t="s">
        <v>1080</v>
      </c>
      <c r="C38" s="31" t="s">
        <v>194</v>
      </c>
      <c r="D38" s="31" t="s">
        <v>195</v>
      </c>
      <c r="E38" s="32" t="s">
        <v>1081</v>
      </c>
      <c r="F38" s="31" t="s">
        <v>151</v>
      </c>
      <c r="G38" s="33" t="s">
        <v>1082</v>
      </c>
      <c r="H38" s="29"/>
    </row>
    <row r="39" ht="22.5" customHeight="1">
      <c r="A39" s="25" t="s">
        <v>1083</v>
      </c>
      <c r="B39" s="31">
        <v>5.58330218822E11</v>
      </c>
      <c r="C39" s="31" t="s">
        <v>200</v>
      </c>
      <c r="D39" s="31" t="s">
        <v>201</v>
      </c>
      <c r="E39" s="32" t="s">
        <v>1084</v>
      </c>
      <c r="F39" s="31" t="s">
        <v>151</v>
      </c>
      <c r="G39" s="33" t="s">
        <v>1085</v>
      </c>
      <c r="H39" s="29"/>
    </row>
    <row r="40" ht="22.5" customHeight="1">
      <c r="A40" s="42" t="s">
        <v>1086</v>
      </c>
      <c r="B40" s="31">
        <v>5.585985110779E12</v>
      </c>
      <c r="C40" s="31" t="s">
        <v>205</v>
      </c>
      <c r="D40" s="31" t="s">
        <v>206</v>
      </c>
      <c r="E40" s="32" t="s">
        <v>1087</v>
      </c>
      <c r="F40" s="31" t="s">
        <v>871</v>
      </c>
      <c r="G40" s="33" t="s">
        <v>1088</v>
      </c>
      <c r="H40" s="29"/>
    </row>
    <row r="41" ht="22.5" customHeight="1">
      <c r="A41" s="28" t="s">
        <v>1089</v>
      </c>
      <c r="B41" s="31">
        <v>5.571999084455E12</v>
      </c>
      <c r="C41" s="31" t="s">
        <v>180</v>
      </c>
      <c r="D41" s="31" t="s">
        <v>1090</v>
      </c>
      <c r="E41" s="32" t="s">
        <v>1091</v>
      </c>
      <c r="F41" s="31" t="s">
        <v>162</v>
      </c>
      <c r="G41" s="33" t="s">
        <v>1092</v>
      </c>
      <c r="H41" s="29"/>
    </row>
    <row r="42" ht="22.5" customHeight="1">
      <c r="A42" s="34" t="s">
        <v>1093</v>
      </c>
      <c r="B42" s="31" t="s">
        <v>1094</v>
      </c>
      <c r="C42" s="31" t="s">
        <v>180</v>
      </c>
      <c r="D42" s="31" t="s">
        <v>1095</v>
      </c>
      <c r="E42" s="32" t="s">
        <v>1096</v>
      </c>
      <c r="F42" s="31" t="s">
        <v>151</v>
      </c>
      <c r="G42" s="33" t="s">
        <v>1097</v>
      </c>
      <c r="H42" s="29"/>
    </row>
    <row r="43">
      <c r="A43" s="33" t="s">
        <v>1098</v>
      </c>
      <c r="B43" s="31">
        <v>5.57199656903E12</v>
      </c>
      <c r="C43" s="31" t="s">
        <v>180</v>
      </c>
      <c r="D43" s="31" t="s">
        <v>1099</v>
      </c>
      <c r="E43" s="32" t="s">
        <v>1100</v>
      </c>
      <c r="F43" s="31" t="s">
        <v>151</v>
      </c>
      <c r="G43" s="33" t="s">
        <v>1101</v>
      </c>
      <c r="H43" s="29"/>
    </row>
    <row r="44" ht="22.5" customHeight="1">
      <c r="A44" s="33" t="s">
        <v>1102</v>
      </c>
      <c r="B44" s="31" t="s">
        <v>1103</v>
      </c>
      <c r="C44" s="31" t="s">
        <v>180</v>
      </c>
      <c r="D44" s="31" t="s">
        <v>461</v>
      </c>
      <c r="E44" s="32" t="s">
        <v>1104</v>
      </c>
      <c r="F44" s="31" t="s">
        <v>1022</v>
      </c>
      <c r="G44" s="33" t="s">
        <v>1105</v>
      </c>
      <c r="H44" s="29"/>
    </row>
    <row r="45" ht="22.5" customHeight="1">
      <c r="A45" s="33" t="s">
        <v>1106</v>
      </c>
      <c r="B45" s="31">
        <v>5.57194140666E11</v>
      </c>
      <c r="C45" s="31" t="s">
        <v>180</v>
      </c>
      <c r="D45" s="31" t="s">
        <v>1107</v>
      </c>
      <c r="E45" s="32" t="s">
        <v>1108</v>
      </c>
      <c r="F45" s="31" t="s">
        <v>151</v>
      </c>
      <c r="G45" s="33" t="s">
        <v>1109</v>
      </c>
      <c r="H45" s="29"/>
    </row>
    <row r="46">
      <c r="A46" s="33" t="s">
        <v>1110</v>
      </c>
      <c r="B46" s="31">
        <v>5.5853271332E11</v>
      </c>
      <c r="C46" s="31" t="s">
        <v>205</v>
      </c>
      <c r="D46" s="31" t="s">
        <v>206</v>
      </c>
      <c r="E46" s="75" t="s">
        <v>1111</v>
      </c>
      <c r="F46" s="31" t="s">
        <v>151</v>
      </c>
      <c r="G46" s="33" t="s">
        <v>1112</v>
      </c>
      <c r="H46" s="29"/>
    </row>
    <row r="47" ht="22.5" customHeight="1">
      <c r="A47" s="33" t="s">
        <v>1113</v>
      </c>
      <c r="B47" s="31" t="s">
        <v>1114</v>
      </c>
      <c r="C47" s="31" t="s">
        <v>205</v>
      </c>
      <c r="D47" s="31" t="s">
        <v>1115</v>
      </c>
      <c r="E47" s="32" t="s">
        <v>1116</v>
      </c>
      <c r="F47" s="31" t="s">
        <v>151</v>
      </c>
      <c r="G47" s="33" t="s">
        <v>1117</v>
      </c>
      <c r="H47" s="29"/>
    </row>
    <row r="48" ht="22.5" customHeight="1">
      <c r="A48" s="33" t="s">
        <v>1118</v>
      </c>
      <c r="B48" s="31" t="s">
        <v>1119</v>
      </c>
      <c r="C48" s="31" t="s">
        <v>205</v>
      </c>
      <c r="D48" s="31" t="s">
        <v>1120</v>
      </c>
      <c r="E48" s="32" t="s">
        <v>1121</v>
      </c>
      <c r="F48" s="31" t="s">
        <v>151</v>
      </c>
      <c r="G48" s="33" t="s">
        <v>1122</v>
      </c>
      <c r="H48" s="29"/>
    </row>
    <row r="49" ht="22.5" customHeight="1">
      <c r="A49" s="33" t="s">
        <v>1086</v>
      </c>
      <c r="B49" s="31">
        <v>5.585985110779E12</v>
      </c>
      <c r="C49" s="31" t="s">
        <v>205</v>
      </c>
      <c r="D49" s="31" t="s">
        <v>1123</v>
      </c>
      <c r="E49" s="32" t="s">
        <v>1124</v>
      </c>
      <c r="F49" s="31" t="s">
        <v>1125</v>
      </c>
      <c r="G49" s="33" t="s">
        <v>1088</v>
      </c>
      <c r="H49" s="29"/>
    </row>
    <row r="50" ht="22.5" customHeight="1">
      <c r="A50" s="33" t="s">
        <v>1126</v>
      </c>
      <c r="B50" s="31">
        <v>5.561999310778E12</v>
      </c>
      <c r="C50" s="31" t="s">
        <v>963</v>
      </c>
      <c r="D50" s="31" t="s">
        <v>1127</v>
      </c>
      <c r="E50" s="32" t="s">
        <v>1128</v>
      </c>
      <c r="F50" s="31" t="s">
        <v>151</v>
      </c>
      <c r="G50" s="33" t="s">
        <v>1129</v>
      </c>
      <c r="H50" s="29"/>
    </row>
    <row r="51">
      <c r="A51" s="33" t="s">
        <v>1130</v>
      </c>
      <c r="B51" s="31" t="s">
        <v>1131</v>
      </c>
      <c r="C51" s="31" t="s">
        <v>963</v>
      </c>
      <c r="D51" s="31" t="s">
        <v>1132</v>
      </c>
      <c r="E51" s="32" t="s">
        <v>1133</v>
      </c>
      <c r="F51" s="31" t="s">
        <v>1134</v>
      </c>
      <c r="G51" s="33" t="s">
        <v>1135</v>
      </c>
      <c r="H51" s="29"/>
    </row>
    <row r="52" ht="22.5" customHeight="1">
      <c r="A52" s="33" t="s">
        <v>1136</v>
      </c>
      <c r="B52" s="31" t="s">
        <v>1137</v>
      </c>
      <c r="C52" s="31" t="s">
        <v>963</v>
      </c>
      <c r="D52" s="31" t="s">
        <v>1127</v>
      </c>
      <c r="E52" s="32" t="s">
        <v>1138</v>
      </c>
      <c r="F52" s="31" t="s">
        <v>151</v>
      </c>
      <c r="G52" s="33" t="s">
        <v>1139</v>
      </c>
      <c r="H52" s="29"/>
    </row>
    <row r="53">
      <c r="A53" s="33" t="s">
        <v>1140</v>
      </c>
      <c r="B53" s="31" t="s">
        <v>1141</v>
      </c>
      <c r="C53" s="31" t="s">
        <v>170</v>
      </c>
      <c r="D53" s="31" t="s">
        <v>1142</v>
      </c>
      <c r="E53" s="32" t="s">
        <v>1143</v>
      </c>
      <c r="F53" s="31" t="s">
        <v>151</v>
      </c>
      <c r="G53" s="33" t="s">
        <v>1144</v>
      </c>
      <c r="H53" s="29"/>
    </row>
    <row r="54" ht="22.5" customHeight="1">
      <c r="A54" s="33" t="s">
        <v>1145</v>
      </c>
      <c r="B54" s="31">
        <v>5.58131322222E11</v>
      </c>
      <c r="C54" s="31" t="s">
        <v>170</v>
      </c>
      <c r="D54" s="31" t="s">
        <v>171</v>
      </c>
      <c r="E54" s="32" t="s">
        <v>1146</v>
      </c>
      <c r="F54" s="31" t="s">
        <v>1022</v>
      </c>
      <c r="G54" s="33" t="s">
        <v>1147</v>
      </c>
      <c r="H54" s="29"/>
    </row>
    <row r="55" ht="22.5" customHeight="1">
      <c r="A55" s="33" t="s">
        <v>1148</v>
      </c>
      <c r="B55" s="31" t="s">
        <v>1149</v>
      </c>
      <c r="C55" s="31" t="s">
        <v>230</v>
      </c>
      <c r="D55" s="31" t="s">
        <v>1150</v>
      </c>
      <c r="E55" s="32" t="s">
        <v>1151</v>
      </c>
      <c r="F55" s="31" t="s">
        <v>1152</v>
      </c>
      <c r="G55" s="33" t="s">
        <v>1153</v>
      </c>
      <c r="H55" s="29"/>
    </row>
    <row r="56" ht="22.5" customHeight="1">
      <c r="A56" s="33" t="s">
        <v>1154</v>
      </c>
      <c r="B56" s="31" t="s">
        <v>1155</v>
      </c>
      <c r="C56" s="31" t="s">
        <v>230</v>
      </c>
      <c r="D56" s="31" t="s">
        <v>1156</v>
      </c>
      <c r="E56" s="32">
        <v>110.0</v>
      </c>
      <c r="F56" s="31" t="s">
        <v>225</v>
      </c>
      <c r="G56" s="33" t="s">
        <v>1157</v>
      </c>
      <c r="H56" s="29"/>
    </row>
    <row r="57" ht="22.5" customHeight="1">
      <c r="A57" s="72" t="s">
        <v>1158</v>
      </c>
      <c r="B57" s="31">
        <v>5.52731025828E11</v>
      </c>
      <c r="C57" s="31" t="s">
        <v>212</v>
      </c>
      <c r="D57" s="31" t="s">
        <v>1159</v>
      </c>
      <c r="E57" s="32" t="s">
        <v>1160</v>
      </c>
      <c r="F57" s="31" t="s">
        <v>151</v>
      </c>
      <c r="G57" s="33" t="s">
        <v>1161</v>
      </c>
      <c r="H57" s="29"/>
    </row>
    <row r="58" ht="22.5" customHeight="1">
      <c r="A58" s="25" t="s">
        <v>1162</v>
      </c>
      <c r="B58" s="31">
        <v>5.52732080676E11</v>
      </c>
      <c r="C58" s="31" t="s">
        <v>212</v>
      </c>
      <c r="D58" s="31" t="s">
        <v>1163</v>
      </c>
      <c r="E58" s="32" t="s">
        <v>1164</v>
      </c>
      <c r="F58" s="31" t="s">
        <v>151</v>
      </c>
      <c r="G58" s="33" t="s">
        <v>1165</v>
      </c>
      <c r="H58" s="29"/>
    </row>
    <row r="59" ht="22.5" customHeight="1">
      <c r="A59" s="25" t="s">
        <v>1166</v>
      </c>
      <c r="B59" s="31">
        <v>5.527992798513E12</v>
      </c>
      <c r="C59" s="31" t="s">
        <v>212</v>
      </c>
      <c r="D59" s="31" t="s">
        <v>1163</v>
      </c>
      <c r="E59" s="32" t="s">
        <v>1167</v>
      </c>
      <c r="F59" s="31" t="s">
        <v>151</v>
      </c>
      <c r="G59" s="33" t="s">
        <v>1168</v>
      </c>
      <c r="H59" s="29"/>
    </row>
    <row r="60" ht="22.5" customHeight="1">
      <c r="A60" s="28" t="s">
        <v>1169</v>
      </c>
      <c r="B60" s="31">
        <v>5.531329299E11</v>
      </c>
      <c r="C60" s="31" t="s">
        <v>166</v>
      </c>
      <c r="D60" s="31" t="s">
        <v>353</v>
      </c>
      <c r="E60" s="32" t="s">
        <v>1170</v>
      </c>
      <c r="F60" s="31" t="s">
        <v>151</v>
      </c>
      <c r="G60" s="33" t="s">
        <v>1171</v>
      </c>
      <c r="H60" s="29"/>
    </row>
    <row r="61" ht="22.5" customHeight="1">
      <c r="A61" s="25" t="s">
        <v>1172</v>
      </c>
      <c r="B61" s="29">
        <f>+552730581114</f>
        <v>552730581114</v>
      </c>
      <c r="C61" s="31" t="s">
        <v>212</v>
      </c>
      <c r="D61" s="31" t="s">
        <v>929</v>
      </c>
      <c r="E61" s="32" t="s">
        <v>1173</v>
      </c>
      <c r="F61" s="31" t="s">
        <v>151</v>
      </c>
      <c r="G61" s="33" t="s">
        <v>1174</v>
      </c>
      <c r="H61" s="29"/>
    </row>
    <row r="62" ht="22.5" customHeight="1">
      <c r="A62" s="25" t="s">
        <v>1175</v>
      </c>
      <c r="B62" s="31">
        <v>5.52721426006E11</v>
      </c>
      <c r="C62" s="31" t="s">
        <v>212</v>
      </c>
      <c r="D62" s="31" t="s">
        <v>1163</v>
      </c>
      <c r="E62" s="32" t="s">
        <v>1176</v>
      </c>
      <c r="F62" s="31" t="s">
        <v>151</v>
      </c>
      <c r="G62" s="33" t="s">
        <v>1177</v>
      </c>
      <c r="H62" s="29"/>
    </row>
    <row r="63" ht="22.5" customHeight="1">
      <c r="A63" s="25" t="s">
        <v>1178</v>
      </c>
      <c r="B63" s="31">
        <v>5.527999878554E12</v>
      </c>
      <c r="C63" s="31" t="s">
        <v>212</v>
      </c>
      <c r="D63" s="31" t="s">
        <v>1163</v>
      </c>
      <c r="E63" s="32" t="s">
        <v>1179</v>
      </c>
      <c r="F63" s="31" t="s">
        <v>151</v>
      </c>
      <c r="G63" s="33" t="s">
        <v>1180</v>
      </c>
      <c r="H63" s="29"/>
    </row>
    <row r="64" ht="22.5" customHeight="1">
      <c r="A64" s="25" t="s">
        <v>1181</v>
      </c>
      <c r="B64" s="31">
        <v>5.512996367814E12</v>
      </c>
      <c r="C64" s="31" t="s">
        <v>155</v>
      </c>
      <c r="D64" s="31" t="s">
        <v>1182</v>
      </c>
      <c r="E64" s="32" t="s">
        <v>115</v>
      </c>
      <c r="F64" s="31" t="s">
        <v>1183</v>
      </c>
      <c r="G64" s="33" t="s">
        <v>1184</v>
      </c>
      <c r="H64" s="29"/>
    </row>
    <row r="65" ht="22.5" customHeight="1">
      <c r="A65" s="25" t="s">
        <v>1185</v>
      </c>
      <c r="B65" s="31">
        <v>5.527996304815E12</v>
      </c>
      <c r="C65" s="31" t="s">
        <v>212</v>
      </c>
      <c r="D65" s="31" t="s">
        <v>1186</v>
      </c>
      <c r="E65" s="32" t="s">
        <v>1187</v>
      </c>
      <c r="F65" s="31" t="s">
        <v>151</v>
      </c>
      <c r="G65" s="33" t="s">
        <v>1188</v>
      </c>
      <c r="H65" s="29"/>
    </row>
    <row r="66" ht="22.5" customHeight="1">
      <c r="A66" s="25" t="s">
        <v>1189</v>
      </c>
      <c r="B66" s="31">
        <v>5.57930211514E11</v>
      </c>
      <c r="C66" s="31" t="s">
        <v>242</v>
      </c>
      <c r="D66" s="31" t="s">
        <v>243</v>
      </c>
      <c r="E66" s="32" t="s">
        <v>1190</v>
      </c>
      <c r="F66" s="31" t="s">
        <v>151</v>
      </c>
      <c r="G66" s="33" t="s">
        <v>1191</v>
      </c>
      <c r="H66" s="29"/>
    </row>
    <row r="67" ht="22.5" customHeight="1">
      <c r="A67" s="25" t="s">
        <v>1192</v>
      </c>
      <c r="B67" s="31">
        <v>5.57932149559E11</v>
      </c>
      <c r="C67" s="31" t="s">
        <v>242</v>
      </c>
      <c r="D67" s="31" t="s">
        <v>243</v>
      </c>
      <c r="E67" s="32" t="s">
        <v>1193</v>
      </c>
      <c r="F67" s="31" t="s">
        <v>196</v>
      </c>
      <c r="G67" s="33" t="s">
        <v>1194</v>
      </c>
      <c r="H67" s="29"/>
    </row>
    <row r="68" ht="22.5" customHeight="1">
      <c r="A68" s="28" t="s">
        <v>1195</v>
      </c>
      <c r="B68" s="26">
        <v>5.56133467707E11</v>
      </c>
      <c r="C68" s="26" t="s">
        <v>963</v>
      </c>
      <c r="D68" s="26" t="s">
        <v>837</v>
      </c>
      <c r="E68" s="27" t="s">
        <v>1196</v>
      </c>
      <c r="F68" s="26" t="s">
        <v>151</v>
      </c>
      <c r="G68" s="25" t="s">
        <v>1197</v>
      </c>
      <c r="H68" s="26" t="s">
        <v>970</v>
      </c>
    </row>
    <row r="69" ht="22.5" customHeight="1">
      <c r="A69" s="25" t="s">
        <v>1198</v>
      </c>
      <c r="B69" s="31">
        <v>5.58233281999E11</v>
      </c>
      <c r="C69" s="31" t="s">
        <v>248</v>
      </c>
      <c r="D69" s="31" t="s">
        <v>249</v>
      </c>
      <c r="E69" s="32" t="s">
        <v>1199</v>
      </c>
      <c r="F69" s="31" t="s">
        <v>151</v>
      </c>
      <c r="G69" s="33" t="s">
        <v>1200</v>
      </c>
      <c r="H69" s="29"/>
    </row>
    <row r="70" ht="22.5" customHeight="1">
      <c r="A70" s="25" t="s">
        <v>1201</v>
      </c>
      <c r="B70" s="31">
        <v>5.547314443E11</v>
      </c>
      <c r="C70" s="31" t="s">
        <v>160</v>
      </c>
      <c r="D70" s="31" t="s">
        <v>260</v>
      </c>
      <c r="E70" s="32" t="s">
        <v>1202</v>
      </c>
      <c r="F70" s="31" t="s">
        <v>151</v>
      </c>
      <c r="G70" s="33" t="s">
        <v>1203</v>
      </c>
      <c r="H70" s="29"/>
    </row>
    <row r="71" ht="22.5" customHeight="1">
      <c r="A71" s="28" t="s">
        <v>1204</v>
      </c>
      <c r="B71" s="31">
        <v>5.547996170606E12</v>
      </c>
      <c r="C71" s="31" t="s">
        <v>160</v>
      </c>
      <c r="D71" s="31" t="s">
        <v>260</v>
      </c>
      <c r="E71" s="32" t="s">
        <v>1205</v>
      </c>
      <c r="F71" s="31" t="s">
        <v>151</v>
      </c>
      <c r="G71" s="33" t="s">
        <v>1206</v>
      </c>
      <c r="H71" s="29"/>
    </row>
    <row r="72" ht="22.5" customHeight="1">
      <c r="A72" s="35" t="s">
        <v>1207</v>
      </c>
      <c r="B72" s="31">
        <v>5.54732883773E11</v>
      </c>
      <c r="C72" s="31" t="s">
        <v>160</v>
      </c>
      <c r="D72" s="31" t="s">
        <v>260</v>
      </c>
      <c r="E72" s="32" t="s">
        <v>1208</v>
      </c>
      <c r="F72" s="31" t="s">
        <v>151</v>
      </c>
      <c r="G72" s="33" t="s">
        <v>1209</v>
      </c>
      <c r="H72" s="29"/>
    </row>
    <row r="73" ht="22.5" customHeight="1">
      <c r="A73" s="25" t="s">
        <v>1210</v>
      </c>
      <c r="B73" s="31">
        <v>5.54730371288E11</v>
      </c>
      <c r="C73" s="31" t="s">
        <v>160</v>
      </c>
      <c r="D73" s="31" t="s">
        <v>260</v>
      </c>
      <c r="E73" s="32" t="s">
        <v>1211</v>
      </c>
      <c r="F73" s="31" t="s">
        <v>151</v>
      </c>
      <c r="G73" s="33" t="s">
        <v>1212</v>
      </c>
      <c r="H73" s="29"/>
    </row>
    <row r="74" ht="22.5" customHeight="1">
      <c r="A74" s="25" t="s">
        <v>1213</v>
      </c>
      <c r="B74" s="31">
        <v>5.54333673207E11</v>
      </c>
      <c r="C74" s="31" t="s">
        <v>194</v>
      </c>
      <c r="D74" s="31" t="s">
        <v>264</v>
      </c>
      <c r="E74" s="32" t="s">
        <v>1214</v>
      </c>
      <c r="F74" s="31" t="s">
        <v>151</v>
      </c>
      <c r="G74" s="33" t="s">
        <v>1215</v>
      </c>
      <c r="H74" s="29"/>
    </row>
    <row r="75" ht="22.5" customHeight="1">
      <c r="A75" s="25" t="s">
        <v>1216</v>
      </c>
      <c r="B75" s="31">
        <v>5.54333230003E11</v>
      </c>
      <c r="C75" s="31" t="s">
        <v>194</v>
      </c>
      <c r="D75" s="31" t="s">
        <v>264</v>
      </c>
      <c r="E75" s="32" t="s">
        <v>1214</v>
      </c>
      <c r="F75" s="31" t="s">
        <v>151</v>
      </c>
      <c r="G75" s="33" t="s">
        <v>1217</v>
      </c>
      <c r="H75" s="29"/>
    </row>
    <row r="76" ht="22.5" customHeight="1">
      <c r="A76" s="25" t="s">
        <v>1218</v>
      </c>
      <c r="B76" s="31">
        <v>5.583993902798E12</v>
      </c>
      <c r="C76" s="31" t="s">
        <v>200</v>
      </c>
      <c r="D76" s="31" t="s">
        <v>201</v>
      </c>
      <c r="E76" s="32" t="s">
        <v>1187</v>
      </c>
      <c r="F76" s="31" t="s">
        <v>151</v>
      </c>
      <c r="G76" s="33" t="s">
        <v>1219</v>
      </c>
      <c r="H76" s="29"/>
    </row>
    <row r="77" ht="22.5" customHeight="1">
      <c r="A77" s="25" t="s">
        <v>1220</v>
      </c>
      <c r="B77" s="31">
        <v>5.583325506E11</v>
      </c>
      <c r="C77" s="31" t="s">
        <v>200</v>
      </c>
      <c r="D77" s="31" t="s">
        <v>201</v>
      </c>
      <c r="E77" s="32" t="s">
        <v>72</v>
      </c>
      <c r="F77" s="31" t="s">
        <v>151</v>
      </c>
      <c r="G77" s="33" t="s">
        <v>1221</v>
      </c>
      <c r="H77" s="26" t="s">
        <v>970</v>
      </c>
    </row>
    <row r="78" ht="22.5" customHeight="1">
      <c r="A78" s="25" t="s">
        <v>1222</v>
      </c>
      <c r="B78" s="31">
        <v>5.51138855199E11</v>
      </c>
      <c r="C78" s="31" t="s">
        <v>155</v>
      </c>
      <c r="D78" s="31" t="s">
        <v>156</v>
      </c>
      <c r="E78" s="32" t="s">
        <v>1223</v>
      </c>
      <c r="F78" s="31" t="s">
        <v>151</v>
      </c>
      <c r="G78" s="33" t="s">
        <v>1224</v>
      </c>
      <c r="H78" s="29"/>
    </row>
    <row r="79" ht="22.5" customHeight="1">
      <c r="A79" s="28" t="s">
        <v>1225</v>
      </c>
      <c r="B79" s="31">
        <v>5.548319711E11</v>
      </c>
      <c r="C79" s="31" t="s">
        <v>160</v>
      </c>
      <c r="D79" s="31" t="s">
        <v>327</v>
      </c>
      <c r="E79" s="32" t="s">
        <v>1226</v>
      </c>
      <c r="F79" s="31" t="s">
        <v>151</v>
      </c>
      <c r="G79" s="33" t="s">
        <v>1227</v>
      </c>
      <c r="H79" s="29"/>
    </row>
    <row r="80" ht="22.5" customHeight="1">
      <c r="A80" s="25" t="s">
        <v>1228</v>
      </c>
      <c r="B80" s="31">
        <v>5.548999612139E12</v>
      </c>
      <c r="C80" s="31" t="s">
        <v>160</v>
      </c>
      <c r="D80" s="31" t="s">
        <v>327</v>
      </c>
      <c r="E80" s="32" t="s">
        <v>1229</v>
      </c>
      <c r="F80" s="31" t="s">
        <v>151</v>
      </c>
      <c r="G80" s="33" t="s">
        <v>1230</v>
      </c>
      <c r="H80" s="29"/>
    </row>
    <row r="81" ht="22.5" customHeight="1">
      <c r="A81" s="25" t="s">
        <v>1231</v>
      </c>
      <c r="B81" s="31">
        <v>5.57530246666E11</v>
      </c>
      <c r="C81" s="31" t="s">
        <v>180</v>
      </c>
      <c r="D81" s="31" t="s">
        <v>302</v>
      </c>
      <c r="E81" s="32" t="s">
        <v>1232</v>
      </c>
      <c r="F81" s="31" t="s">
        <v>151</v>
      </c>
      <c r="G81" s="33" t="s">
        <v>1233</v>
      </c>
      <c r="H81" s="29"/>
    </row>
    <row r="82" ht="22.5" customHeight="1">
      <c r="A82" s="25" t="s">
        <v>1234</v>
      </c>
      <c r="B82" s="31">
        <v>5.5753030601E11</v>
      </c>
      <c r="C82" s="31" t="s">
        <v>180</v>
      </c>
      <c r="D82" s="31" t="s">
        <v>302</v>
      </c>
      <c r="E82" s="32" t="s">
        <v>1235</v>
      </c>
      <c r="F82" s="31" t="s">
        <v>151</v>
      </c>
      <c r="G82" s="33" t="s">
        <v>1236</v>
      </c>
      <c r="H82" s="29"/>
    </row>
    <row r="83" ht="22.5" customHeight="1">
      <c r="A83" s="25" t="s">
        <v>1237</v>
      </c>
      <c r="B83" s="31">
        <v>5.58333369925E11</v>
      </c>
      <c r="C83" s="31" t="s">
        <v>180</v>
      </c>
      <c r="D83" s="31" t="s">
        <v>1238</v>
      </c>
      <c r="E83" s="32" t="s">
        <v>1239</v>
      </c>
      <c r="F83" s="31" t="s">
        <v>151</v>
      </c>
      <c r="G83" s="33" t="s">
        <v>1240</v>
      </c>
      <c r="H83" s="29"/>
    </row>
    <row r="84" ht="22.5" customHeight="1">
      <c r="A84" s="28" t="s">
        <v>1241</v>
      </c>
      <c r="B84" s="31">
        <v>5.58521306499E11</v>
      </c>
      <c r="C84" s="31" t="s">
        <v>205</v>
      </c>
      <c r="D84" s="31" t="s">
        <v>206</v>
      </c>
      <c r="E84" s="32" t="s">
        <v>1242</v>
      </c>
      <c r="F84" s="31" t="s">
        <v>151</v>
      </c>
      <c r="G84" s="33" t="s">
        <v>1243</v>
      </c>
      <c r="H84" s="29"/>
    </row>
    <row r="85" ht="22.5" customHeight="1">
      <c r="A85" s="25" t="s">
        <v>1244</v>
      </c>
      <c r="B85" s="31">
        <v>5.58538798001E11</v>
      </c>
      <c r="C85" s="31" t="s">
        <v>205</v>
      </c>
      <c r="D85" s="31" t="s">
        <v>206</v>
      </c>
      <c r="E85" s="32" t="s">
        <v>1245</v>
      </c>
      <c r="F85" s="31" t="s">
        <v>151</v>
      </c>
      <c r="G85" s="25" t="s">
        <v>1246</v>
      </c>
      <c r="H85" s="29"/>
    </row>
    <row r="86" ht="22.5" customHeight="1">
      <c r="A86" s="28" t="s">
        <v>1247</v>
      </c>
      <c r="B86" s="31">
        <v>5.58530856561E11</v>
      </c>
      <c r="C86" s="31" t="s">
        <v>205</v>
      </c>
      <c r="D86" s="31" t="s">
        <v>206</v>
      </c>
      <c r="E86" s="32" t="s">
        <v>1248</v>
      </c>
      <c r="F86" s="31" t="s">
        <v>151</v>
      </c>
      <c r="G86" s="28" t="s">
        <v>1249</v>
      </c>
      <c r="H86" s="29"/>
    </row>
    <row r="87" ht="22.5" customHeight="1">
      <c r="A87" s="25" t="s">
        <v>1250</v>
      </c>
      <c r="B87" s="31">
        <v>5.58532767876E11</v>
      </c>
      <c r="C87" s="31" t="s">
        <v>205</v>
      </c>
      <c r="D87" s="31" t="s">
        <v>206</v>
      </c>
      <c r="E87" s="32" t="s">
        <v>1251</v>
      </c>
      <c r="F87" s="31" t="s">
        <v>151</v>
      </c>
      <c r="G87" s="33" t="s">
        <v>1252</v>
      </c>
      <c r="H87" s="29"/>
    </row>
    <row r="88" ht="22.5" customHeight="1">
      <c r="A88" s="28" t="s">
        <v>1253</v>
      </c>
      <c r="B88" s="31">
        <v>5.58530170016E11</v>
      </c>
      <c r="C88" s="31" t="s">
        <v>205</v>
      </c>
      <c r="D88" s="31" t="s">
        <v>206</v>
      </c>
      <c r="E88" s="32" t="s">
        <v>1254</v>
      </c>
      <c r="F88" s="31" t="s">
        <v>151</v>
      </c>
      <c r="G88" s="33" t="s">
        <v>1255</v>
      </c>
      <c r="H88" s="26" t="s">
        <v>970</v>
      </c>
    </row>
    <row r="89" ht="22.5" customHeight="1">
      <c r="A89" s="25" t="s">
        <v>1256</v>
      </c>
      <c r="B89" s="31">
        <v>5.59832361953E11</v>
      </c>
      <c r="C89" s="31" t="s">
        <v>319</v>
      </c>
      <c r="D89" s="31" t="s">
        <v>320</v>
      </c>
      <c r="E89" s="32" t="s">
        <v>1257</v>
      </c>
      <c r="F89" s="31" t="s">
        <v>151</v>
      </c>
      <c r="G89" s="33" t="s">
        <v>1258</v>
      </c>
      <c r="H89" s="29"/>
    </row>
    <row r="90" ht="22.5" customHeight="1">
      <c r="A90" s="28" t="s">
        <v>1259</v>
      </c>
      <c r="B90" s="31">
        <v>5.598984008159E12</v>
      </c>
      <c r="C90" s="31" t="s">
        <v>319</v>
      </c>
      <c r="D90" s="31" t="s">
        <v>320</v>
      </c>
      <c r="E90" s="32" t="s">
        <v>62</v>
      </c>
      <c r="F90" s="31" t="s">
        <v>151</v>
      </c>
      <c r="G90" s="33" t="s">
        <v>1260</v>
      </c>
      <c r="H90" s="26" t="s">
        <v>970</v>
      </c>
    </row>
    <row r="91" ht="22.5" customHeight="1">
      <c r="A91" s="28" t="s">
        <v>1261</v>
      </c>
      <c r="B91" s="31">
        <v>5.598988798553E12</v>
      </c>
      <c r="C91" s="31" t="s">
        <v>319</v>
      </c>
      <c r="D91" s="31" t="s">
        <v>320</v>
      </c>
      <c r="E91" s="32" t="s">
        <v>1262</v>
      </c>
      <c r="F91" s="31" t="s">
        <v>151</v>
      </c>
      <c r="G91" s="33" t="s">
        <v>1263</v>
      </c>
      <c r="H91" s="29"/>
    </row>
    <row r="92" ht="22.5" customHeight="1">
      <c r="A92" s="28" t="s">
        <v>1264</v>
      </c>
      <c r="B92" s="31">
        <v>5.59230839244E11</v>
      </c>
      <c r="C92" s="31" t="s">
        <v>1265</v>
      </c>
      <c r="D92" s="31" t="s">
        <v>1266</v>
      </c>
      <c r="E92" s="32" t="s">
        <v>1267</v>
      </c>
      <c r="F92" s="31" t="s">
        <v>151</v>
      </c>
      <c r="G92" s="33" t="s">
        <v>1268</v>
      </c>
      <c r="H92" s="29"/>
    </row>
    <row r="93" ht="22.5" customHeight="1">
      <c r="A93" s="28" t="s">
        <v>1269</v>
      </c>
      <c r="B93" s="31">
        <v>5.592992131344E12</v>
      </c>
      <c r="C93" s="31" t="s">
        <v>1265</v>
      </c>
      <c r="D93" s="31" t="s">
        <v>1266</v>
      </c>
      <c r="E93" s="32" t="s">
        <v>1232</v>
      </c>
      <c r="F93" s="31" t="s">
        <v>151</v>
      </c>
      <c r="G93" s="33" t="s">
        <v>1270</v>
      </c>
      <c r="H93" s="29"/>
    </row>
    <row r="94" ht="22.5" customHeight="1">
      <c r="A94" s="44" t="s">
        <v>1271</v>
      </c>
      <c r="B94" s="31">
        <v>5.592993710736E12</v>
      </c>
      <c r="C94" s="31" t="s">
        <v>1265</v>
      </c>
      <c r="D94" s="31" t="s">
        <v>1266</v>
      </c>
      <c r="E94" s="32" t="s">
        <v>1272</v>
      </c>
      <c r="F94" s="36" t="s">
        <v>151</v>
      </c>
      <c r="G94" s="35" t="s">
        <v>1273</v>
      </c>
      <c r="H94" s="29"/>
    </row>
    <row r="95" ht="22.5" customHeight="1">
      <c r="A95" s="28" t="s">
        <v>1274</v>
      </c>
      <c r="B95" s="31">
        <v>5.5829886508E12</v>
      </c>
      <c r="C95" s="31" t="s">
        <v>248</v>
      </c>
      <c r="D95" s="31" t="s">
        <v>342</v>
      </c>
      <c r="E95" s="32" t="s">
        <v>1275</v>
      </c>
      <c r="F95" s="31" t="s">
        <v>151</v>
      </c>
      <c r="G95" s="33" t="s">
        <v>1276</v>
      </c>
      <c r="H95" s="29"/>
    </row>
    <row r="96" ht="22.5" customHeight="1">
      <c r="A96" s="28" t="s">
        <v>1277</v>
      </c>
      <c r="B96" s="31">
        <v>5.53135301228E11</v>
      </c>
      <c r="C96" s="31" t="s">
        <v>166</v>
      </c>
      <c r="D96" s="31" t="s">
        <v>353</v>
      </c>
      <c r="E96" s="32" t="s">
        <v>1278</v>
      </c>
      <c r="F96" s="31" t="s">
        <v>151</v>
      </c>
      <c r="G96" s="33" t="s">
        <v>1279</v>
      </c>
      <c r="H96" s="29"/>
    </row>
    <row r="97" ht="22.5" customHeight="1">
      <c r="A97" s="28" t="s">
        <v>1280</v>
      </c>
      <c r="B97" s="31">
        <v>5.53132440459E11</v>
      </c>
      <c r="C97" s="31" t="s">
        <v>166</v>
      </c>
      <c r="D97" s="31" t="s">
        <v>353</v>
      </c>
      <c r="E97" s="32" t="s">
        <v>1281</v>
      </c>
      <c r="F97" s="31" t="s">
        <v>151</v>
      </c>
      <c r="G97" s="33" t="s">
        <v>1282</v>
      </c>
      <c r="H97" s="29"/>
    </row>
    <row r="98" ht="22.5" customHeight="1">
      <c r="A98" s="28" t="s">
        <v>1283</v>
      </c>
      <c r="B98" s="31">
        <v>5.53134412809E11</v>
      </c>
      <c r="C98" s="31" t="s">
        <v>166</v>
      </c>
      <c r="D98" s="31" t="s">
        <v>353</v>
      </c>
      <c r="E98" s="32" t="s">
        <v>57</v>
      </c>
      <c r="F98" s="31" t="s">
        <v>151</v>
      </c>
      <c r="G98" s="33" t="s">
        <v>1284</v>
      </c>
      <c r="H98" s="26" t="s">
        <v>970</v>
      </c>
    </row>
    <row r="99" ht="22.5" customHeight="1">
      <c r="A99" s="42" t="s">
        <v>1198</v>
      </c>
      <c r="B99" s="31">
        <v>5.53133440927E11</v>
      </c>
      <c r="C99" s="31" t="s">
        <v>166</v>
      </c>
      <c r="D99" s="31" t="s">
        <v>353</v>
      </c>
      <c r="E99" s="32" t="s">
        <v>1285</v>
      </c>
      <c r="F99" s="31" t="s">
        <v>151</v>
      </c>
      <c r="G99" s="33" t="s">
        <v>1286</v>
      </c>
      <c r="H99" s="29"/>
    </row>
    <row r="100" ht="22.5" customHeight="1">
      <c r="A100" s="33" t="s">
        <v>1287</v>
      </c>
      <c r="B100" s="31" t="s">
        <v>1288</v>
      </c>
      <c r="C100" s="31" t="s">
        <v>361</v>
      </c>
      <c r="D100" s="31" t="s">
        <v>362</v>
      </c>
      <c r="E100" s="32" t="s">
        <v>1289</v>
      </c>
      <c r="F100" s="31" t="s">
        <v>151</v>
      </c>
      <c r="G100" s="33" t="s">
        <v>1290</v>
      </c>
      <c r="H100" s="29"/>
    </row>
    <row r="101" ht="22.5" customHeight="1">
      <c r="A101" s="33" t="s">
        <v>1291</v>
      </c>
      <c r="B101" s="31">
        <v>5.551999512282E12</v>
      </c>
      <c r="C101" s="31" t="s">
        <v>361</v>
      </c>
      <c r="D101" s="31" t="s">
        <v>362</v>
      </c>
      <c r="E101" s="32" t="s">
        <v>1292</v>
      </c>
      <c r="F101" s="31" t="s">
        <v>151</v>
      </c>
      <c r="G101" s="33" t="s">
        <v>1293</v>
      </c>
      <c r="H101" s="29"/>
    </row>
    <row r="102" ht="22.5" customHeight="1">
      <c r="A102" s="33" t="s">
        <v>1294</v>
      </c>
      <c r="B102" s="31" t="s">
        <v>1295</v>
      </c>
      <c r="C102" s="31" t="s">
        <v>361</v>
      </c>
      <c r="D102" s="31" t="s">
        <v>362</v>
      </c>
      <c r="E102" s="32" t="s">
        <v>1296</v>
      </c>
      <c r="F102" s="31" t="s">
        <v>1134</v>
      </c>
      <c r="G102" s="33" t="s">
        <v>1297</v>
      </c>
      <c r="H102" s="29"/>
    </row>
    <row r="103" ht="22.5" customHeight="1">
      <c r="A103" s="33" t="s">
        <v>1298</v>
      </c>
      <c r="B103" s="31" t="s">
        <v>1299</v>
      </c>
      <c r="C103" s="31" t="s">
        <v>361</v>
      </c>
      <c r="D103" s="31" t="s">
        <v>362</v>
      </c>
      <c r="E103" s="32" t="s">
        <v>1300</v>
      </c>
      <c r="F103" s="31" t="s">
        <v>162</v>
      </c>
      <c r="G103" s="33" t="s">
        <v>1301</v>
      </c>
      <c r="H103" s="29"/>
    </row>
    <row r="104" ht="22.5" customHeight="1">
      <c r="A104" s="25" t="s">
        <v>1302</v>
      </c>
      <c r="B104" s="29">
        <f>+554720331774</f>
        <v>554720331774</v>
      </c>
      <c r="C104" s="31" t="s">
        <v>160</v>
      </c>
      <c r="D104" s="31" t="s">
        <v>811</v>
      </c>
      <c r="E104" s="32" t="s">
        <v>1303</v>
      </c>
      <c r="F104" s="31" t="s">
        <v>151</v>
      </c>
      <c r="G104" s="33" t="s">
        <v>1304</v>
      </c>
      <c r="H104" s="29"/>
    </row>
    <row r="105" ht="22.5" customHeight="1">
      <c r="A105" s="25" t="s">
        <v>1305</v>
      </c>
      <c r="B105" s="31">
        <v>5.54733651367E11</v>
      </c>
      <c r="C105" s="31" t="s">
        <v>160</v>
      </c>
      <c r="D105" s="31" t="s">
        <v>811</v>
      </c>
      <c r="E105" s="32" t="s">
        <v>1205</v>
      </c>
      <c r="F105" s="31" t="s">
        <v>151</v>
      </c>
      <c r="G105" s="33" t="s">
        <v>1306</v>
      </c>
      <c r="H105" s="29"/>
    </row>
    <row r="106" ht="22.5" customHeight="1">
      <c r="A106" s="25" t="s">
        <v>1307</v>
      </c>
      <c r="B106" s="31">
        <v>5.5473365051E11</v>
      </c>
      <c r="C106" s="31" t="s">
        <v>160</v>
      </c>
      <c r="D106" s="31" t="s">
        <v>811</v>
      </c>
      <c r="E106" s="32" t="s">
        <v>1187</v>
      </c>
      <c r="F106" s="31" t="s">
        <v>151</v>
      </c>
      <c r="G106" s="33" t="s">
        <v>1308</v>
      </c>
      <c r="H106" s="29"/>
    </row>
    <row r="107" ht="22.5" customHeight="1">
      <c r="A107" s="25" t="s">
        <v>813</v>
      </c>
      <c r="B107" s="31">
        <v>5.54730814896E11</v>
      </c>
      <c r="C107" s="31" t="s">
        <v>160</v>
      </c>
      <c r="D107" s="31" t="s">
        <v>811</v>
      </c>
      <c r="E107" s="32" t="s">
        <v>1309</v>
      </c>
      <c r="F107" s="31" t="s">
        <v>151</v>
      </c>
      <c r="G107" s="33" t="s">
        <v>814</v>
      </c>
      <c r="H107" s="29"/>
    </row>
    <row r="108" ht="22.5" customHeight="1">
      <c r="A108" s="25" t="s">
        <v>1310</v>
      </c>
      <c r="B108" s="31">
        <v>5.547997740916E12</v>
      </c>
      <c r="C108" s="31" t="s">
        <v>160</v>
      </c>
      <c r="D108" s="31" t="s">
        <v>811</v>
      </c>
      <c r="E108" s="32" t="s">
        <v>1311</v>
      </c>
      <c r="F108" s="31" t="s">
        <v>151</v>
      </c>
      <c r="G108" s="33" t="s">
        <v>1312</v>
      </c>
      <c r="H108" s="26" t="s">
        <v>970</v>
      </c>
    </row>
    <row r="109" ht="22.5" customHeight="1">
      <c r="A109" s="28" t="s">
        <v>1313</v>
      </c>
      <c r="B109" s="31">
        <v>5.54733113839E11</v>
      </c>
      <c r="C109" s="31" t="s">
        <v>160</v>
      </c>
      <c r="D109" s="31" t="s">
        <v>811</v>
      </c>
      <c r="E109" s="32" t="s">
        <v>1314</v>
      </c>
      <c r="F109" s="31" t="s">
        <v>151</v>
      </c>
      <c r="G109" s="33" t="s">
        <v>1315</v>
      </c>
      <c r="H109" s="29"/>
    </row>
    <row r="110" ht="22.5" customHeight="1">
      <c r="A110" s="25" t="s">
        <v>1316</v>
      </c>
      <c r="B110" s="31">
        <v>5.54732491616E11</v>
      </c>
      <c r="C110" s="31" t="s">
        <v>160</v>
      </c>
      <c r="D110" s="31" t="s">
        <v>1317</v>
      </c>
      <c r="E110" s="32" t="s">
        <v>1205</v>
      </c>
      <c r="F110" s="31" t="s">
        <v>151</v>
      </c>
      <c r="G110" s="33" t="s">
        <v>1318</v>
      </c>
      <c r="H110" s="29"/>
    </row>
    <row r="111" ht="22.5" customHeight="1">
      <c r="A111" s="28" t="s">
        <v>1319</v>
      </c>
      <c r="B111" s="31">
        <v>5.54732484018E11</v>
      </c>
      <c r="C111" s="31" t="s">
        <v>160</v>
      </c>
      <c r="D111" s="31" t="s">
        <v>1317</v>
      </c>
      <c r="E111" s="32" t="s">
        <v>1320</v>
      </c>
      <c r="F111" s="31" t="s">
        <v>151</v>
      </c>
      <c r="G111" s="33" t="s">
        <v>1321</v>
      </c>
      <c r="H111" s="29"/>
    </row>
    <row r="112" ht="22.5" customHeight="1">
      <c r="A112" s="25" t="s">
        <v>1322</v>
      </c>
      <c r="B112" s="31">
        <v>5.52422373319E11</v>
      </c>
      <c r="C112" s="31" t="s">
        <v>149</v>
      </c>
      <c r="D112" s="31" t="s">
        <v>1323</v>
      </c>
      <c r="E112" s="32" t="s">
        <v>62</v>
      </c>
      <c r="F112" s="31" t="s">
        <v>151</v>
      </c>
      <c r="G112" s="33" t="s">
        <v>1324</v>
      </c>
      <c r="H112" s="26" t="s">
        <v>970</v>
      </c>
    </row>
    <row r="113" ht="22.5" customHeight="1">
      <c r="A113" s="28" t="s">
        <v>1325</v>
      </c>
      <c r="B113" s="31">
        <v>5.52422435678E11</v>
      </c>
      <c r="C113" s="31" t="s">
        <v>149</v>
      </c>
      <c r="D113" s="31" t="s">
        <v>1323</v>
      </c>
      <c r="E113" s="32" t="s">
        <v>1326</v>
      </c>
      <c r="F113" s="31" t="s">
        <v>151</v>
      </c>
      <c r="G113" s="33" t="s">
        <v>1327</v>
      </c>
      <c r="H113" s="29"/>
    </row>
    <row r="114" ht="22.5" customHeight="1">
      <c r="A114" s="25" t="s">
        <v>1328</v>
      </c>
      <c r="B114" s="31">
        <v>5.524223641E11</v>
      </c>
      <c r="C114" s="31" t="s">
        <v>149</v>
      </c>
      <c r="D114" s="31" t="s">
        <v>1323</v>
      </c>
      <c r="E114" s="32" t="s">
        <v>1329</v>
      </c>
      <c r="F114" s="31" t="s">
        <v>151</v>
      </c>
      <c r="G114" s="33" t="s">
        <v>1330</v>
      </c>
      <c r="H114" s="29"/>
    </row>
    <row r="115" ht="22.5" customHeight="1">
      <c r="A115" s="25" t="s">
        <v>1331</v>
      </c>
      <c r="B115" s="31">
        <v>5.52422332893E11</v>
      </c>
      <c r="C115" s="31" t="s">
        <v>149</v>
      </c>
      <c r="D115" s="31" t="s">
        <v>1323</v>
      </c>
      <c r="E115" s="32" t="s">
        <v>1332</v>
      </c>
      <c r="F115" s="31" t="s">
        <v>151</v>
      </c>
      <c r="G115" s="33" t="s">
        <v>1333</v>
      </c>
      <c r="H115" s="29"/>
    </row>
    <row r="116" ht="22.5" customHeight="1">
      <c r="A116" s="25" t="s">
        <v>1334</v>
      </c>
      <c r="B116" s="31">
        <v>5.52422212599E11</v>
      </c>
      <c r="C116" s="31" t="s">
        <v>149</v>
      </c>
      <c r="D116" s="31" t="s">
        <v>1323</v>
      </c>
      <c r="E116" s="32" t="s">
        <v>1335</v>
      </c>
      <c r="F116" s="31" t="s">
        <v>151</v>
      </c>
      <c r="G116" s="33" t="s">
        <v>1336</v>
      </c>
      <c r="H116" s="29"/>
    </row>
    <row r="117" ht="22.5" customHeight="1">
      <c r="A117" s="25" t="s">
        <v>1337</v>
      </c>
      <c r="B117" s="31">
        <v>5.512996049597E12</v>
      </c>
      <c r="C117" s="31" t="s">
        <v>155</v>
      </c>
      <c r="D117" s="31" t="s">
        <v>371</v>
      </c>
      <c r="E117" s="32" t="s">
        <v>1338</v>
      </c>
      <c r="F117" s="31" t="s">
        <v>151</v>
      </c>
      <c r="G117" s="33" t="s">
        <v>1339</v>
      </c>
      <c r="H117" s="29"/>
    </row>
    <row r="118" ht="22.5" customHeight="1">
      <c r="A118" s="28" t="s">
        <v>1340</v>
      </c>
      <c r="B118" s="31">
        <v>5.54734250509E11</v>
      </c>
      <c r="C118" s="31" t="s">
        <v>160</v>
      </c>
      <c r="D118" s="31" t="s">
        <v>381</v>
      </c>
      <c r="E118" s="32" t="s">
        <v>1341</v>
      </c>
      <c r="F118" s="31" t="s">
        <v>151</v>
      </c>
      <c r="G118" s="33" t="s">
        <v>1342</v>
      </c>
      <c r="H118" s="29"/>
    </row>
    <row r="119" ht="22.5" customHeight="1">
      <c r="A119" s="25" t="s">
        <v>1343</v>
      </c>
      <c r="B119" s="31">
        <v>5.54734223132E11</v>
      </c>
      <c r="C119" s="31" t="s">
        <v>160</v>
      </c>
      <c r="D119" s="31" t="s">
        <v>381</v>
      </c>
      <c r="E119" s="32" t="s">
        <v>1344</v>
      </c>
      <c r="F119" s="31" t="s">
        <v>151</v>
      </c>
      <c r="G119" s="33" t="s">
        <v>1345</v>
      </c>
      <c r="H119" s="29"/>
    </row>
    <row r="120" ht="22.5" customHeight="1">
      <c r="A120" s="25" t="s">
        <v>1346</v>
      </c>
      <c r="B120" s="31">
        <v>5.54734223185E11</v>
      </c>
      <c r="C120" s="31" t="s">
        <v>160</v>
      </c>
      <c r="D120" s="31" t="s">
        <v>381</v>
      </c>
      <c r="E120" s="32" t="s">
        <v>1347</v>
      </c>
      <c r="F120" s="31" t="s">
        <v>1348</v>
      </c>
      <c r="G120" s="33" t="s">
        <v>1349</v>
      </c>
      <c r="H120" s="29"/>
    </row>
    <row r="121" ht="22.5" customHeight="1">
      <c r="A121" s="28" t="s">
        <v>1350</v>
      </c>
      <c r="B121" s="31">
        <v>5.56733067612E11</v>
      </c>
      <c r="C121" s="31" t="s">
        <v>395</v>
      </c>
      <c r="D121" s="31" t="s">
        <v>409</v>
      </c>
      <c r="E121" s="32" t="s">
        <v>1351</v>
      </c>
      <c r="F121" s="31" t="s">
        <v>151</v>
      </c>
      <c r="G121" s="33" t="s">
        <v>1352</v>
      </c>
      <c r="H121" s="29"/>
    </row>
    <row r="122" ht="22.5" customHeight="1">
      <c r="A122" s="28" t="s">
        <v>1353</v>
      </c>
      <c r="B122" s="31">
        <v>5.56733827356E11</v>
      </c>
      <c r="C122" s="31" t="s">
        <v>395</v>
      </c>
      <c r="D122" s="31" t="s">
        <v>409</v>
      </c>
      <c r="E122" s="32" t="s">
        <v>1354</v>
      </c>
      <c r="F122" s="31" t="s">
        <v>151</v>
      </c>
      <c r="G122" s="33" t="s">
        <v>1355</v>
      </c>
      <c r="H122" s="29"/>
    </row>
    <row r="123" ht="22.5" customHeight="1">
      <c r="A123" s="25" t="s">
        <v>1356</v>
      </c>
      <c r="B123" s="31">
        <v>5.58131399696E11</v>
      </c>
      <c r="C123" s="31" t="s">
        <v>170</v>
      </c>
      <c r="D123" s="31" t="s">
        <v>171</v>
      </c>
      <c r="E123" s="32" t="s">
        <v>1357</v>
      </c>
      <c r="F123" s="31" t="s">
        <v>151</v>
      </c>
      <c r="G123" s="33" t="s">
        <v>1358</v>
      </c>
      <c r="H123" s="29"/>
    </row>
    <row r="124" ht="22.5" customHeight="1">
      <c r="A124" s="25" t="s">
        <v>1356</v>
      </c>
      <c r="B124" s="31">
        <v>5.58131399696E11</v>
      </c>
      <c r="C124" s="31" t="s">
        <v>170</v>
      </c>
      <c r="D124" s="31" t="s">
        <v>171</v>
      </c>
      <c r="E124" s="32" t="s">
        <v>1357</v>
      </c>
      <c r="F124" s="31" t="s">
        <v>151</v>
      </c>
      <c r="G124" s="33" t="s">
        <v>1359</v>
      </c>
      <c r="H124" s="29"/>
    </row>
    <row r="125" ht="22.5" customHeight="1">
      <c r="A125" s="25" t="s">
        <v>1360</v>
      </c>
      <c r="B125" s="31">
        <v>5.58132442688E11</v>
      </c>
      <c r="C125" s="31" t="s">
        <v>170</v>
      </c>
      <c r="D125" s="31" t="s">
        <v>171</v>
      </c>
      <c r="E125" s="32" t="s">
        <v>1335</v>
      </c>
      <c r="F125" s="31" t="s">
        <v>151</v>
      </c>
      <c r="G125" s="33" t="s">
        <v>1361</v>
      </c>
      <c r="H125" s="29"/>
    </row>
    <row r="126" ht="22.5" customHeight="1">
      <c r="A126" s="28" t="s">
        <v>1362</v>
      </c>
      <c r="B126" s="31">
        <v>5.5813228259E11</v>
      </c>
      <c r="C126" s="31" t="s">
        <v>170</v>
      </c>
      <c r="D126" s="31" t="s">
        <v>171</v>
      </c>
      <c r="E126" s="32" t="s">
        <v>1363</v>
      </c>
      <c r="F126" s="31" t="s">
        <v>151</v>
      </c>
      <c r="G126" s="33" t="s">
        <v>1364</v>
      </c>
      <c r="H126" s="29"/>
    </row>
    <row r="127" ht="22.5" customHeight="1">
      <c r="A127" s="28" t="s">
        <v>1365</v>
      </c>
      <c r="B127" s="31">
        <v>5.545991117979E12</v>
      </c>
      <c r="C127" s="31" t="s">
        <v>194</v>
      </c>
      <c r="D127" s="31" t="s">
        <v>430</v>
      </c>
      <c r="E127" s="32" t="s">
        <v>1366</v>
      </c>
      <c r="F127" s="31" t="s">
        <v>151</v>
      </c>
      <c r="G127" s="33" t="s">
        <v>1367</v>
      </c>
      <c r="H127" s="29"/>
    </row>
    <row r="128" ht="22.5" customHeight="1">
      <c r="A128" s="25" t="s">
        <v>1368</v>
      </c>
      <c r="B128" s="31">
        <v>5.54535726899E11</v>
      </c>
      <c r="C128" s="31" t="s">
        <v>194</v>
      </c>
      <c r="D128" s="31" t="s">
        <v>430</v>
      </c>
      <c r="E128" s="32" t="s">
        <v>1272</v>
      </c>
      <c r="F128" s="31" t="s">
        <v>151</v>
      </c>
      <c r="G128" s="33" t="s">
        <v>1369</v>
      </c>
      <c r="H128" s="29"/>
    </row>
    <row r="129" ht="22.5" customHeight="1">
      <c r="A129" s="25" t="s">
        <v>1370</v>
      </c>
      <c r="B129" s="31">
        <v>5.54535234343E11</v>
      </c>
      <c r="C129" s="31" t="s">
        <v>194</v>
      </c>
      <c r="D129" s="31" t="s">
        <v>430</v>
      </c>
      <c r="E129" s="32" t="s">
        <v>1371</v>
      </c>
      <c r="F129" s="31" t="s">
        <v>151</v>
      </c>
      <c r="G129" s="33" t="s">
        <v>1372</v>
      </c>
      <c r="H129" s="29"/>
    </row>
    <row r="130" ht="22.5" customHeight="1">
      <c r="A130" s="25" t="s">
        <v>1373</v>
      </c>
      <c r="B130" s="31">
        <v>5.545998021003E12</v>
      </c>
      <c r="C130" s="31" t="s">
        <v>194</v>
      </c>
      <c r="D130" s="31" t="s">
        <v>430</v>
      </c>
      <c r="E130" s="32" t="s">
        <v>1374</v>
      </c>
      <c r="F130" s="31" t="s">
        <v>151</v>
      </c>
      <c r="G130" s="33" t="s">
        <v>1375</v>
      </c>
      <c r="H130" s="29"/>
    </row>
    <row r="131" ht="22.5" customHeight="1">
      <c r="A131" s="25" t="s">
        <v>1376</v>
      </c>
      <c r="B131" s="31">
        <v>5.545991422526E12</v>
      </c>
      <c r="C131" s="31" t="s">
        <v>194</v>
      </c>
      <c r="D131" s="31" t="s">
        <v>430</v>
      </c>
      <c r="E131" s="32" t="s">
        <v>1377</v>
      </c>
      <c r="F131" s="31" t="s">
        <v>151</v>
      </c>
      <c r="G131" s="33" t="s">
        <v>1378</v>
      </c>
      <c r="H131" s="29"/>
    </row>
    <row r="132" ht="22.5" customHeight="1">
      <c r="A132" s="28" t="s">
        <v>1379</v>
      </c>
      <c r="B132" s="31">
        <v>5.5513277202E11</v>
      </c>
      <c r="C132" s="31" t="s">
        <v>361</v>
      </c>
      <c r="D132" s="31" t="s">
        <v>362</v>
      </c>
      <c r="E132" s="32" t="s">
        <v>1380</v>
      </c>
      <c r="F132" s="31" t="s">
        <v>151</v>
      </c>
      <c r="G132" s="33" t="s">
        <v>1381</v>
      </c>
      <c r="H132" s="29"/>
    </row>
    <row r="133" ht="22.5" customHeight="1">
      <c r="A133" s="28" t="s">
        <v>1382</v>
      </c>
      <c r="B133" s="31">
        <v>5.55130237111E11</v>
      </c>
      <c r="C133" s="31" t="s">
        <v>361</v>
      </c>
      <c r="D133" s="31" t="s">
        <v>362</v>
      </c>
      <c r="E133" s="32" t="s">
        <v>1383</v>
      </c>
      <c r="F133" s="31" t="s">
        <v>151</v>
      </c>
      <c r="G133" s="33" t="s">
        <v>1384</v>
      </c>
      <c r="H133" s="29"/>
    </row>
    <row r="134" ht="22.5" customHeight="1">
      <c r="A134" s="25" t="s">
        <v>1385</v>
      </c>
      <c r="B134" s="31">
        <v>5.58131399696E11</v>
      </c>
      <c r="C134" s="31" t="s">
        <v>170</v>
      </c>
      <c r="D134" s="31" t="s">
        <v>1386</v>
      </c>
      <c r="E134" s="32" t="s">
        <v>1357</v>
      </c>
      <c r="F134" s="31" t="s">
        <v>1387</v>
      </c>
      <c r="G134" s="33" t="s">
        <v>1388</v>
      </c>
      <c r="H134" s="29"/>
    </row>
    <row r="135" ht="22.5" customHeight="1">
      <c r="A135" s="28" t="s">
        <v>1389</v>
      </c>
      <c r="B135" s="31">
        <v>5.58133414244E11</v>
      </c>
      <c r="C135" s="31" t="s">
        <v>170</v>
      </c>
      <c r="D135" s="31" t="s">
        <v>1386</v>
      </c>
      <c r="E135" s="32" t="s">
        <v>1199</v>
      </c>
      <c r="F135" s="31" t="s">
        <v>151</v>
      </c>
      <c r="G135" s="33" t="s">
        <v>1390</v>
      </c>
      <c r="H135" s="29"/>
    </row>
    <row r="136" ht="22.5" customHeight="1">
      <c r="A136" s="28" t="s">
        <v>1391</v>
      </c>
      <c r="B136" s="31">
        <v>5.58131267555E11</v>
      </c>
      <c r="C136" s="31" t="s">
        <v>170</v>
      </c>
      <c r="D136" s="31" t="s">
        <v>171</v>
      </c>
      <c r="E136" s="32" t="s">
        <v>1392</v>
      </c>
      <c r="F136" s="31" t="s">
        <v>151</v>
      </c>
      <c r="G136" s="33" t="s">
        <v>1393</v>
      </c>
      <c r="H136" s="29"/>
    </row>
    <row r="137" ht="22.5" customHeight="1">
      <c r="A137" s="28" t="s">
        <v>1394</v>
      </c>
      <c r="B137" s="31">
        <v>5.58131267555E11</v>
      </c>
      <c r="C137" s="31" t="s">
        <v>170</v>
      </c>
      <c r="D137" s="31" t="s">
        <v>171</v>
      </c>
      <c r="E137" s="32" t="s">
        <v>1395</v>
      </c>
      <c r="F137" s="31" t="s">
        <v>151</v>
      </c>
      <c r="G137" s="33" t="s">
        <v>1396</v>
      </c>
      <c r="H137" s="29"/>
    </row>
    <row r="138" ht="22.5" customHeight="1">
      <c r="A138" s="25" t="s">
        <v>1397</v>
      </c>
      <c r="B138" s="31">
        <v>5.58131267555E11</v>
      </c>
      <c r="C138" s="31" t="s">
        <v>170</v>
      </c>
      <c r="D138" s="31" t="s">
        <v>171</v>
      </c>
      <c r="E138" s="32" t="s">
        <v>1398</v>
      </c>
      <c r="F138" s="31" t="s">
        <v>151</v>
      </c>
      <c r="G138" s="33" t="s">
        <v>1399</v>
      </c>
      <c r="H138" s="29"/>
    </row>
    <row r="139" ht="22.5" customHeight="1">
      <c r="A139" s="72" t="s">
        <v>1400</v>
      </c>
      <c r="B139" s="31">
        <v>5.5713506139E11</v>
      </c>
      <c r="C139" s="31" t="s">
        <v>180</v>
      </c>
      <c r="D139" s="31" t="s">
        <v>461</v>
      </c>
      <c r="E139" s="32" t="s">
        <v>1401</v>
      </c>
      <c r="F139" s="31" t="s">
        <v>1387</v>
      </c>
      <c r="G139" s="33" t="s">
        <v>1402</v>
      </c>
      <c r="H139" s="29"/>
    </row>
    <row r="140" ht="22.5" customHeight="1">
      <c r="A140" s="28" t="s">
        <v>1403</v>
      </c>
      <c r="B140" s="31">
        <v>5.57121320156E11</v>
      </c>
      <c r="C140" s="31" t="s">
        <v>180</v>
      </c>
      <c r="D140" s="31" t="s">
        <v>461</v>
      </c>
      <c r="E140" s="32" t="s">
        <v>1404</v>
      </c>
      <c r="F140" s="31" t="s">
        <v>151</v>
      </c>
      <c r="G140" s="33" t="s">
        <v>1405</v>
      </c>
      <c r="H140" s="29"/>
    </row>
    <row r="141" ht="22.5" customHeight="1">
      <c r="A141" s="28" t="s">
        <v>1406</v>
      </c>
      <c r="B141" s="31">
        <v>5.57133579159E11</v>
      </c>
      <c r="C141" s="31" t="s">
        <v>180</v>
      </c>
      <c r="D141" s="31" t="s">
        <v>461</v>
      </c>
      <c r="E141" s="32" t="s">
        <v>5</v>
      </c>
      <c r="F141" s="31" t="s">
        <v>151</v>
      </c>
      <c r="G141" s="28" t="s">
        <v>1407</v>
      </c>
      <c r="H141" s="26" t="s">
        <v>970</v>
      </c>
    </row>
    <row r="142" ht="22.5" customHeight="1">
      <c r="A142" s="25" t="s">
        <v>1408</v>
      </c>
      <c r="B142" s="31">
        <v>5.57133579159E11</v>
      </c>
      <c r="C142" s="31" t="s">
        <v>180</v>
      </c>
      <c r="D142" s="31" t="s">
        <v>461</v>
      </c>
      <c r="E142" s="32" t="s">
        <v>5</v>
      </c>
      <c r="F142" s="31" t="s">
        <v>151</v>
      </c>
      <c r="G142" s="33" t="s">
        <v>1409</v>
      </c>
      <c r="H142" s="26" t="s">
        <v>970</v>
      </c>
    </row>
    <row r="143" ht="22.5" customHeight="1">
      <c r="A143" s="28" t="s">
        <v>1410</v>
      </c>
      <c r="B143" s="31">
        <v>5.57133579159E11</v>
      </c>
      <c r="C143" s="31" t="s">
        <v>180</v>
      </c>
      <c r="D143" s="31" t="s">
        <v>461</v>
      </c>
      <c r="E143" s="32" t="s">
        <v>5</v>
      </c>
      <c r="F143" s="31" t="s">
        <v>151</v>
      </c>
      <c r="G143" s="33" t="s">
        <v>1411</v>
      </c>
      <c r="H143" s="26" t="s">
        <v>970</v>
      </c>
    </row>
    <row r="144" ht="22.5" customHeight="1">
      <c r="A144" s="28" t="s">
        <v>1412</v>
      </c>
      <c r="B144" s="31">
        <v>5.57133540484E11</v>
      </c>
      <c r="C144" s="31" t="s">
        <v>180</v>
      </c>
      <c r="D144" s="31" t="s">
        <v>461</v>
      </c>
      <c r="E144" s="32" t="s">
        <v>1413</v>
      </c>
      <c r="F144" s="31" t="s">
        <v>151</v>
      </c>
      <c r="G144" s="33" t="s">
        <v>1414</v>
      </c>
      <c r="H144" s="29"/>
    </row>
    <row r="145" ht="22.5" customHeight="1">
      <c r="A145" s="25" t="s">
        <v>1415</v>
      </c>
      <c r="B145" s="31">
        <v>5.57121325027E11</v>
      </c>
      <c r="C145" s="31" t="s">
        <v>180</v>
      </c>
      <c r="D145" s="31" t="s">
        <v>461</v>
      </c>
      <c r="E145" s="32" t="s">
        <v>1366</v>
      </c>
      <c r="F145" s="31" t="s">
        <v>151</v>
      </c>
      <c r="G145" s="33" t="s">
        <v>1416</v>
      </c>
      <c r="H145" s="29"/>
    </row>
    <row r="146" ht="22.5" customHeight="1">
      <c r="A146" s="28" t="s">
        <v>1417</v>
      </c>
      <c r="B146" s="31">
        <v>5.57133845002E11</v>
      </c>
      <c r="C146" s="31" t="s">
        <v>180</v>
      </c>
      <c r="D146" s="31" t="s">
        <v>461</v>
      </c>
      <c r="E146" s="32" t="s">
        <v>1418</v>
      </c>
      <c r="F146" s="31" t="s">
        <v>151</v>
      </c>
      <c r="G146" s="33" t="s">
        <v>1419</v>
      </c>
      <c r="H146" s="29"/>
    </row>
    <row r="147" ht="22.5" customHeight="1">
      <c r="A147" s="28" t="s">
        <v>1420</v>
      </c>
      <c r="B147" s="31">
        <v>5.57132726633E11</v>
      </c>
      <c r="C147" s="31" t="s">
        <v>180</v>
      </c>
      <c r="D147" s="31" t="s">
        <v>461</v>
      </c>
      <c r="E147" s="32" t="s">
        <v>1366</v>
      </c>
      <c r="F147" s="31" t="s">
        <v>151</v>
      </c>
      <c r="G147" s="33" t="s">
        <v>1421</v>
      </c>
      <c r="H147" s="29"/>
    </row>
    <row r="148" ht="22.5" customHeight="1">
      <c r="A148" s="25" t="s">
        <v>1422</v>
      </c>
      <c r="B148" s="31">
        <v>5.57133600096E11</v>
      </c>
      <c r="C148" s="31" t="s">
        <v>180</v>
      </c>
      <c r="D148" s="31" t="s">
        <v>461</v>
      </c>
      <c r="E148" s="32" t="s">
        <v>1423</v>
      </c>
      <c r="F148" s="31" t="s">
        <v>151</v>
      </c>
      <c r="G148" s="33" t="s">
        <v>1424</v>
      </c>
      <c r="H148" s="29"/>
    </row>
    <row r="149" ht="22.5" customHeight="1">
      <c r="A149" s="28" t="s">
        <v>1425</v>
      </c>
      <c r="B149" s="31">
        <v>5.57131629816E11</v>
      </c>
      <c r="C149" s="31" t="s">
        <v>180</v>
      </c>
      <c r="D149" s="31" t="s">
        <v>461</v>
      </c>
      <c r="E149" s="32" t="s">
        <v>1257</v>
      </c>
      <c r="F149" s="31" t="s">
        <v>151</v>
      </c>
      <c r="G149" s="33" t="s">
        <v>1426</v>
      </c>
      <c r="H149" s="29"/>
    </row>
    <row r="150" ht="22.5" customHeight="1">
      <c r="A150" s="25" t="s">
        <v>1427</v>
      </c>
      <c r="B150" s="31">
        <v>5.57133418081E11</v>
      </c>
      <c r="C150" s="31" t="s">
        <v>180</v>
      </c>
      <c r="D150" s="31" t="s">
        <v>461</v>
      </c>
      <c r="E150" s="32" t="s">
        <v>1326</v>
      </c>
      <c r="F150" s="31" t="s">
        <v>151</v>
      </c>
      <c r="G150" s="33" t="s">
        <v>1428</v>
      </c>
      <c r="H150" s="29"/>
    </row>
    <row r="151" ht="22.5" customHeight="1">
      <c r="A151" s="25" t="s">
        <v>1093</v>
      </c>
      <c r="B151" s="31">
        <v>5.571991884805E12</v>
      </c>
      <c r="C151" s="31" t="s">
        <v>180</v>
      </c>
      <c r="D151" s="31" t="s">
        <v>461</v>
      </c>
      <c r="E151" s="32" t="s">
        <v>1429</v>
      </c>
      <c r="F151" s="31" t="s">
        <v>151</v>
      </c>
      <c r="G151" s="33" t="s">
        <v>1097</v>
      </c>
      <c r="H151" s="29"/>
    </row>
    <row r="152" ht="22.5" customHeight="1">
      <c r="A152" s="25" t="s">
        <v>1430</v>
      </c>
      <c r="B152" s="31">
        <v>5.51145754777E11</v>
      </c>
      <c r="C152" s="31" t="s">
        <v>155</v>
      </c>
      <c r="D152" s="31" t="s">
        <v>156</v>
      </c>
      <c r="E152" s="32" t="s">
        <v>1431</v>
      </c>
      <c r="F152" s="31" t="s">
        <v>151</v>
      </c>
      <c r="G152" s="33" t="s">
        <v>1432</v>
      </c>
      <c r="H152" s="29"/>
    </row>
    <row r="153" ht="22.5" customHeight="1">
      <c r="A153" s="25" t="s">
        <v>1433</v>
      </c>
      <c r="B153" s="31">
        <v>5.5112533E11</v>
      </c>
      <c r="C153" s="31" t="s">
        <v>155</v>
      </c>
      <c r="D153" s="31" t="s">
        <v>156</v>
      </c>
      <c r="E153" s="32" t="s">
        <v>1434</v>
      </c>
      <c r="F153" s="31" t="s">
        <v>151</v>
      </c>
      <c r="G153" s="33" t="s">
        <v>1435</v>
      </c>
      <c r="H153" s="29"/>
    </row>
    <row r="154" ht="22.5" customHeight="1">
      <c r="A154" s="28" t="s">
        <v>1436</v>
      </c>
      <c r="B154" s="26">
        <v>5.51155941758E11</v>
      </c>
      <c r="C154" s="31" t="s">
        <v>155</v>
      </c>
      <c r="D154" s="31" t="s">
        <v>156</v>
      </c>
      <c r="E154" s="32" t="s">
        <v>1437</v>
      </c>
      <c r="F154" s="31" t="s">
        <v>151</v>
      </c>
      <c r="G154" s="33" t="s">
        <v>1438</v>
      </c>
      <c r="H154" s="29"/>
    </row>
    <row r="155" ht="22.5" customHeight="1">
      <c r="A155" s="28" t="s">
        <v>1439</v>
      </c>
      <c r="B155" s="31">
        <v>5.51138583983E11</v>
      </c>
      <c r="C155" s="31" t="s">
        <v>155</v>
      </c>
      <c r="D155" s="31" t="s">
        <v>156</v>
      </c>
      <c r="E155" s="32" t="s">
        <v>1440</v>
      </c>
      <c r="F155" s="31" t="s">
        <v>151</v>
      </c>
      <c r="G155" s="33" t="s">
        <v>1441</v>
      </c>
      <c r="H155" s="29"/>
    </row>
    <row r="156" ht="22.5" customHeight="1">
      <c r="A156" s="25" t="s">
        <v>1442</v>
      </c>
      <c r="B156" s="31">
        <v>5.5113060283E11</v>
      </c>
      <c r="C156" s="31" t="s">
        <v>155</v>
      </c>
      <c r="D156" s="31" t="s">
        <v>156</v>
      </c>
      <c r="E156" s="32" t="s">
        <v>1443</v>
      </c>
      <c r="F156" s="31" t="s">
        <v>151</v>
      </c>
      <c r="G156" s="33" t="s">
        <v>1444</v>
      </c>
      <c r="H156" s="29"/>
    </row>
    <row r="157" ht="22.5" customHeight="1">
      <c r="A157" s="25" t="s">
        <v>1445</v>
      </c>
      <c r="B157" s="31">
        <v>5.51146730064E11</v>
      </c>
      <c r="C157" s="31" t="s">
        <v>155</v>
      </c>
      <c r="D157" s="31" t="s">
        <v>156</v>
      </c>
      <c r="E157" s="32" t="s">
        <v>1446</v>
      </c>
      <c r="F157" s="31" t="s">
        <v>151</v>
      </c>
      <c r="G157" s="33" t="s">
        <v>1447</v>
      </c>
      <c r="H157" s="29"/>
    </row>
    <row r="158" ht="22.5" customHeight="1">
      <c r="A158" s="25" t="s">
        <v>1448</v>
      </c>
      <c r="B158" s="31">
        <v>5.51155553517E11</v>
      </c>
      <c r="C158" s="31" t="s">
        <v>155</v>
      </c>
      <c r="D158" s="31" t="s">
        <v>156</v>
      </c>
      <c r="E158" s="32" t="s">
        <v>1449</v>
      </c>
      <c r="F158" s="31" t="s">
        <v>151</v>
      </c>
      <c r="G158" s="33" t="s">
        <v>1450</v>
      </c>
      <c r="H158" s="29"/>
    </row>
    <row r="159" ht="22.5" customHeight="1">
      <c r="A159" s="25" t="s">
        <v>1451</v>
      </c>
      <c r="B159" s="31">
        <v>5.51122656911E11</v>
      </c>
      <c r="C159" s="31" t="s">
        <v>155</v>
      </c>
      <c r="D159" s="31" t="s">
        <v>156</v>
      </c>
      <c r="E159" s="32" t="s">
        <v>1452</v>
      </c>
      <c r="F159" s="31" t="s">
        <v>151</v>
      </c>
      <c r="G159" s="33" t="s">
        <v>1453</v>
      </c>
      <c r="H159" s="29"/>
    </row>
    <row r="160" ht="22.5" customHeight="1">
      <c r="A160" s="25" t="s">
        <v>1454</v>
      </c>
      <c r="B160" s="31">
        <v>5.51155553517E11</v>
      </c>
      <c r="C160" s="31" t="s">
        <v>155</v>
      </c>
      <c r="D160" s="31" t="s">
        <v>156</v>
      </c>
      <c r="E160" s="32" t="s">
        <v>1449</v>
      </c>
      <c r="F160" s="31" t="s">
        <v>151</v>
      </c>
      <c r="G160" s="33" t="s">
        <v>1455</v>
      </c>
      <c r="H160" s="29"/>
    </row>
    <row r="161" ht="22.5" customHeight="1">
      <c r="A161" s="25" t="s">
        <v>1456</v>
      </c>
      <c r="B161" s="31">
        <v>5.51146730066E11</v>
      </c>
      <c r="C161" s="31" t="s">
        <v>155</v>
      </c>
      <c r="D161" s="31" t="s">
        <v>156</v>
      </c>
      <c r="E161" s="32" t="s">
        <v>1457</v>
      </c>
      <c r="F161" s="31" t="s">
        <v>151</v>
      </c>
      <c r="G161" s="33" t="s">
        <v>1458</v>
      </c>
      <c r="H161" s="29"/>
    </row>
    <row r="162" ht="22.5" customHeight="1">
      <c r="A162" s="25" t="s">
        <v>1459</v>
      </c>
      <c r="B162" s="31">
        <v>5.51155731222E11</v>
      </c>
      <c r="C162" s="31" t="s">
        <v>155</v>
      </c>
      <c r="D162" s="31" t="s">
        <v>156</v>
      </c>
      <c r="E162" s="32" t="s">
        <v>1460</v>
      </c>
      <c r="F162" s="31" t="s">
        <v>151</v>
      </c>
      <c r="G162" s="33" t="s">
        <v>1461</v>
      </c>
      <c r="H162" s="29"/>
    </row>
    <row r="163" ht="22.5" customHeight="1">
      <c r="A163" s="25" t="s">
        <v>1462</v>
      </c>
      <c r="B163" s="26">
        <v>5.51129713387E11</v>
      </c>
      <c r="C163" s="31" t="s">
        <v>1463</v>
      </c>
      <c r="D163" s="31" t="s">
        <v>156</v>
      </c>
      <c r="E163" s="32" t="s">
        <v>1464</v>
      </c>
      <c r="F163" s="31" t="s">
        <v>151</v>
      </c>
      <c r="G163" s="33" t="s">
        <v>1465</v>
      </c>
      <c r="H163" s="29"/>
    </row>
    <row r="164" ht="22.5" customHeight="1">
      <c r="A164" s="25" t="s">
        <v>1466</v>
      </c>
      <c r="B164" s="31">
        <v>5.51238337857E11</v>
      </c>
      <c r="C164" s="31" t="s">
        <v>155</v>
      </c>
      <c r="D164" s="31" t="s">
        <v>476</v>
      </c>
      <c r="E164" s="32" t="s">
        <v>1467</v>
      </c>
      <c r="F164" s="31" t="s">
        <v>151</v>
      </c>
      <c r="G164" s="33" t="s">
        <v>1468</v>
      </c>
      <c r="H164" s="29"/>
    </row>
    <row r="165" ht="22.5" customHeight="1">
      <c r="A165" s="25" t="s">
        <v>1469</v>
      </c>
      <c r="B165" s="31">
        <v>5.5122103697E11</v>
      </c>
      <c r="C165" s="31" t="s">
        <v>155</v>
      </c>
      <c r="D165" s="31" t="s">
        <v>498</v>
      </c>
      <c r="E165" s="32" t="s">
        <v>1205</v>
      </c>
      <c r="F165" s="31" t="s">
        <v>151</v>
      </c>
      <c r="G165" s="33" t="s">
        <v>1470</v>
      </c>
      <c r="H165" s="29"/>
    </row>
    <row r="166" ht="22.5" customHeight="1">
      <c r="A166" s="25" t="s">
        <v>1471</v>
      </c>
      <c r="B166" s="31">
        <v>5.51129055444E11</v>
      </c>
      <c r="C166" s="31" t="s">
        <v>155</v>
      </c>
      <c r="D166" s="31" t="s">
        <v>156</v>
      </c>
      <c r="E166" s="32" t="s">
        <v>1272</v>
      </c>
      <c r="F166" s="31" t="s">
        <v>151</v>
      </c>
      <c r="G166" s="33" t="s">
        <v>1472</v>
      </c>
      <c r="H166" s="29"/>
    </row>
    <row r="167" ht="22.5" customHeight="1">
      <c r="A167" s="25" t="s">
        <v>1473</v>
      </c>
      <c r="B167" s="31">
        <v>5.514991064894E12</v>
      </c>
      <c r="C167" s="31" t="s">
        <v>155</v>
      </c>
      <c r="D167" s="31" t="s">
        <v>523</v>
      </c>
      <c r="E167" s="32" t="s">
        <v>1474</v>
      </c>
      <c r="F167" s="31" t="s">
        <v>151</v>
      </c>
      <c r="G167" s="33" t="s">
        <v>1475</v>
      </c>
      <c r="H167" s="29"/>
    </row>
    <row r="168" ht="22.5" customHeight="1">
      <c r="A168" s="25" t="s">
        <v>1476</v>
      </c>
      <c r="B168" s="31">
        <v>5.54830470195E11</v>
      </c>
      <c r="C168" s="31" t="s">
        <v>160</v>
      </c>
      <c r="D168" s="31" t="s">
        <v>327</v>
      </c>
      <c r="E168" s="32" t="s">
        <v>108</v>
      </c>
      <c r="F168" s="31" t="s">
        <v>151</v>
      </c>
      <c r="G168" s="33" t="s">
        <v>1477</v>
      </c>
      <c r="H168" s="29"/>
    </row>
    <row r="169" ht="22.5" customHeight="1">
      <c r="A169" s="28" t="s">
        <v>1478</v>
      </c>
      <c r="B169" s="31">
        <v>5.54833073581E11</v>
      </c>
      <c r="C169" s="31" t="s">
        <v>160</v>
      </c>
      <c r="D169" s="31" t="s">
        <v>327</v>
      </c>
      <c r="E169" s="32" t="s">
        <v>1479</v>
      </c>
      <c r="F169" s="31" t="s">
        <v>151</v>
      </c>
      <c r="G169" s="33" t="s">
        <v>1480</v>
      </c>
      <c r="H169" s="29"/>
    </row>
    <row r="170" ht="22.5" customHeight="1">
      <c r="A170" s="35" t="s">
        <v>1481</v>
      </c>
      <c r="B170" s="36">
        <v>5.548998292437E12</v>
      </c>
      <c r="C170" s="36" t="s">
        <v>160</v>
      </c>
      <c r="D170" s="36" t="s">
        <v>327</v>
      </c>
      <c r="E170" s="37" t="s">
        <v>1401</v>
      </c>
      <c r="F170" s="36" t="s">
        <v>151</v>
      </c>
      <c r="G170" s="35" t="s">
        <v>1482</v>
      </c>
      <c r="H170" s="29"/>
    </row>
    <row r="171" ht="22.5" customHeight="1">
      <c r="A171" s="28" t="s">
        <v>1483</v>
      </c>
      <c r="B171" s="31">
        <v>5.548991895297E12</v>
      </c>
      <c r="C171" s="31" t="s">
        <v>160</v>
      </c>
      <c r="D171" s="31" t="s">
        <v>327</v>
      </c>
      <c r="E171" s="32" t="s">
        <v>1484</v>
      </c>
      <c r="F171" s="31" t="s">
        <v>151</v>
      </c>
      <c r="G171" s="33" t="s">
        <v>1485</v>
      </c>
      <c r="H171" s="29"/>
    </row>
    <row r="172" ht="22.5" customHeight="1">
      <c r="A172" s="33" t="s">
        <v>1486</v>
      </c>
      <c r="B172" s="31">
        <v>5.58491146751E11</v>
      </c>
      <c r="C172" s="31" t="s">
        <v>544</v>
      </c>
      <c r="D172" s="31" t="s">
        <v>545</v>
      </c>
      <c r="E172" s="32" t="s">
        <v>1487</v>
      </c>
      <c r="F172" s="31" t="s">
        <v>151</v>
      </c>
      <c r="G172" s="33" t="s">
        <v>1488</v>
      </c>
      <c r="H172" s="29"/>
    </row>
    <row r="173" ht="22.5" customHeight="1">
      <c r="A173" s="33" t="s">
        <v>1489</v>
      </c>
      <c r="B173" s="31">
        <v>5.584988663666E12</v>
      </c>
      <c r="C173" s="31" t="s">
        <v>544</v>
      </c>
      <c r="D173" s="31" t="s">
        <v>545</v>
      </c>
      <c r="E173" s="32" t="s">
        <v>1490</v>
      </c>
      <c r="F173" s="31" t="s">
        <v>151</v>
      </c>
      <c r="G173" s="33" t="s">
        <v>1491</v>
      </c>
      <c r="H173" s="29"/>
    </row>
    <row r="174" ht="22.5" customHeight="1">
      <c r="A174" s="33" t="s">
        <v>1492</v>
      </c>
      <c r="B174" s="31">
        <v>5.58496493072E11</v>
      </c>
      <c r="C174" s="31" t="s">
        <v>544</v>
      </c>
      <c r="D174" s="31" t="s">
        <v>545</v>
      </c>
      <c r="E174" s="32" t="s">
        <v>1493</v>
      </c>
      <c r="F174" s="31" t="s">
        <v>162</v>
      </c>
      <c r="G174" s="33" t="s">
        <v>1494</v>
      </c>
      <c r="H174" s="29"/>
    </row>
    <row r="175" ht="22.5" customHeight="1">
      <c r="A175" s="28" t="s">
        <v>1495</v>
      </c>
      <c r="B175" s="31">
        <v>5.58420206896E11</v>
      </c>
      <c r="C175" s="31" t="s">
        <v>544</v>
      </c>
      <c r="D175" s="31" t="s">
        <v>545</v>
      </c>
      <c r="E175" s="32" t="s">
        <v>1496</v>
      </c>
      <c r="F175" s="31" t="s">
        <v>151</v>
      </c>
      <c r="G175" s="33" t="s">
        <v>1497</v>
      </c>
      <c r="H175" s="29"/>
    </row>
    <row r="176" ht="22.5" customHeight="1">
      <c r="A176" s="33" t="s">
        <v>1498</v>
      </c>
      <c r="B176" s="31">
        <v>5.584992306308E12</v>
      </c>
      <c r="C176" s="31" t="s">
        <v>544</v>
      </c>
      <c r="D176" s="31" t="s">
        <v>545</v>
      </c>
      <c r="E176" s="32" t="s">
        <v>1499</v>
      </c>
      <c r="F176" s="31" t="s">
        <v>546</v>
      </c>
      <c r="G176" s="33" t="s">
        <v>1500</v>
      </c>
      <c r="H176" s="29"/>
    </row>
    <row r="177" ht="22.5" customHeight="1">
      <c r="A177" s="33" t="s">
        <v>1501</v>
      </c>
      <c r="B177" s="31">
        <v>5.58436112223E11</v>
      </c>
      <c r="C177" s="31" t="s">
        <v>544</v>
      </c>
      <c r="D177" s="31" t="s">
        <v>545</v>
      </c>
      <c r="E177" s="32" t="s">
        <v>1502</v>
      </c>
      <c r="F177" s="31" t="s">
        <v>546</v>
      </c>
      <c r="G177" s="33" t="s">
        <v>1503</v>
      </c>
      <c r="H177" s="29"/>
    </row>
    <row r="178" ht="22.5" customHeight="1">
      <c r="A178" s="49" t="s">
        <v>1504</v>
      </c>
      <c r="B178" s="31">
        <v>5.55499320543E11</v>
      </c>
      <c r="C178" s="31" t="s">
        <v>361</v>
      </c>
      <c r="D178" s="31" t="s">
        <v>550</v>
      </c>
      <c r="E178" s="32" t="s">
        <v>1505</v>
      </c>
      <c r="F178" s="36"/>
      <c r="G178" s="33" t="s">
        <v>1506</v>
      </c>
      <c r="H178" s="29"/>
    </row>
    <row r="179" ht="22.5" customHeight="1">
      <c r="A179" s="49" t="s">
        <v>1507</v>
      </c>
      <c r="B179" s="31">
        <v>5.57399587929E11</v>
      </c>
      <c r="C179" s="31" t="s">
        <v>180</v>
      </c>
      <c r="D179" s="31" t="s">
        <v>560</v>
      </c>
      <c r="E179" s="32" t="s">
        <v>1508</v>
      </c>
      <c r="F179" s="31" t="s">
        <v>162</v>
      </c>
      <c r="G179" s="33" t="s">
        <v>1509</v>
      </c>
      <c r="H179" s="29"/>
    </row>
    <row r="180" ht="22.5" customHeight="1">
      <c r="A180" s="25" t="s">
        <v>1510</v>
      </c>
      <c r="B180" s="31">
        <v>5.582981019559E12</v>
      </c>
      <c r="C180" s="31" t="s">
        <v>248</v>
      </c>
      <c r="D180" s="31" t="s">
        <v>249</v>
      </c>
      <c r="E180" s="32" t="s">
        <v>1193</v>
      </c>
      <c r="F180" s="31" t="s">
        <v>151</v>
      </c>
      <c r="G180" s="33" t="s">
        <v>1511</v>
      </c>
      <c r="H180" s="29"/>
    </row>
    <row r="181" ht="22.5" customHeight="1">
      <c r="A181" s="25" t="s">
        <v>1512</v>
      </c>
      <c r="B181" s="31">
        <v>5.582988823444E12</v>
      </c>
      <c r="C181" s="31" t="s">
        <v>248</v>
      </c>
      <c r="D181" s="31" t="s">
        <v>249</v>
      </c>
      <c r="E181" s="32" t="s">
        <v>1513</v>
      </c>
      <c r="F181" s="31" t="s">
        <v>151</v>
      </c>
      <c r="G181" s="33" t="s">
        <v>1514</v>
      </c>
      <c r="H181" s="29"/>
    </row>
    <row r="182" ht="22.5" customHeight="1">
      <c r="A182" s="28" t="s">
        <v>1515</v>
      </c>
      <c r="B182" s="31">
        <v>5.582988949483E12</v>
      </c>
      <c r="C182" s="31" t="s">
        <v>248</v>
      </c>
      <c r="D182" s="31" t="s">
        <v>249</v>
      </c>
      <c r="E182" s="32" t="s">
        <v>1363</v>
      </c>
      <c r="F182" s="31" t="s">
        <v>1516</v>
      </c>
      <c r="G182" s="33" t="s">
        <v>1517</v>
      </c>
      <c r="H182" s="29"/>
    </row>
    <row r="183" ht="22.5" customHeight="1">
      <c r="A183" s="25" t="s">
        <v>1518</v>
      </c>
      <c r="B183" s="31">
        <v>5.58538792483E11</v>
      </c>
      <c r="C183" s="31" t="s">
        <v>205</v>
      </c>
      <c r="D183" s="31" t="s">
        <v>206</v>
      </c>
      <c r="E183" s="32" t="s">
        <v>1087</v>
      </c>
      <c r="F183" s="31" t="s">
        <v>151</v>
      </c>
      <c r="G183" s="33" t="s">
        <v>1519</v>
      </c>
      <c r="H183" s="29"/>
    </row>
    <row r="184" ht="22.5" customHeight="1">
      <c r="A184" s="28" t="s">
        <v>1520</v>
      </c>
      <c r="B184" s="31">
        <v>5.58521393953E11</v>
      </c>
      <c r="C184" s="31" t="s">
        <v>205</v>
      </c>
      <c r="D184" s="31" t="s">
        <v>206</v>
      </c>
      <c r="E184" s="32" t="s">
        <v>1521</v>
      </c>
      <c r="F184" s="31" t="s">
        <v>871</v>
      </c>
      <c r="G184" s="33" t="s">
        <v>1522</v>
      </c>
      <c r="H184" s="29"/>
    </row>
    <row r="185" ht="22.5" customHeight="1">
      <c r="A185" s="28" t="s">
        <v>1523</v>
      </c>
      <c r="B185" s="31">
        <v>5.58531045433E11</v>
      </c>
      <c r="C185" s="31" t="s">
        <v>205</v>
      </c>
      <c r="D185" s="31" t="s">
        <v>206</v>
      </c>
      <c r="E185" s="32" t="s">
        <v>1524</v>
      </c>
      <c r="F185" s="31" t="s">
        <v>151</v>
      </c>
      <c r="G185" s="33" t="s">
        <v>1525</v>
      </c>
      <c r="H185" s="29"/>
    </row>
    <row r="186" ht="22.5" customHeight="1">
      <c r="A186" s="28" t="s">
        <v>1526</v>
      </c>
      <c r="B186" s="31">
        <v>5.58521808021E11</v>
      </c>
      <c r="C186" s="31" t="s">
        <v>205</v>
      </c>
      <c r="D186" s="31" t="s">
        <v>206</v>
      </c>
      <c r="E186" s="32" t="s">
        <v>1527</v>
      </c>
      <c r="F186" s="31" t="s">
        <v>1516</v>
      </c>
      <c r="G186" s="33" t="s">
        <v>1528</v>
      </c>
      <c r="H186" s="29"/>
    </row>
    <row r="187" ht="22.5" customHeight="1">
      <c r="A187" s="28" t="s">
        <v>1529</v>
      </c>
      <c r="B187" s="31">
        <v>5.588999278916E12</v>
      </c>
      <c r="C187" s="31" t="s">
        <v>205</v>
      </c>
      <c r="D187" s="31" t="s">
        <v>1530</v>
      </c>
      <c r="E187" s="32" t="s">
        <v>1531</v>
      </c>
      <c r="F187" s="31" t="s">
        <v>151</v>
      </c>
      <c r="G187" s="33" t="s">
        <v>1532</v>
      </c>
      <c r="H187" s="29"/>
    </row>
    <row r="188" ht="22.5" customHeight="1">
      <c r="A188" s="35" t="s">
        <v>1533</v>
      </c>
      <c r="B188" s="31">
        <v>5.585981390123E12</v>
      </c>
      <c r="C188" s="31" t="s">
        <v>205</v>
      </c>
      <c r="D188" s="31" t="s">
        <v>206</v>
      </c>
      <c r="E188" s="32" t="s">
        <v>1534</v>
      </c>
      <c r="F188" s="31" t="s">
        <v>151</v>
      </c>
      <c r="G188" s="33" t="s">
        <v>1535</v>
      </c>
      <c r="H188" s="29"/>
    </row>
    <row r="189" ht="22.5" customHeight="1">
      <c r="A189" s="25" t="s">
        <v>1536</v>
      </c>
      <c r="B189" s="31">
        <v>5.585994472738E12</v>
      </c>
      <c r="C189" s="31" t="s">
        <v>205</v>
      </c>
      <c r="D189" s="31" t="s">
        <v>206</v>
      </c>
      <c r="E189" s="32" t="s">
        <v>1537</v>
      </c>
      <c r="F189" s="31" t="s">
        <v>151</v>
      </c>
      <c r="G189" s="33" t="s">
        <v>1538</v>
      </c>
      <c r="H189" s="29"/>
    </row>
    <row r="190" ht="22.5" customHeight="1">
      <c r="A190" s="25" t="s">
        <v>1539</v>
      </c>
      <c r="B190" s="31">
        <v>5.58532411997E11</v>
      </c>
      <c r="C190" s="31" t="s">
        <v>205</v>
      </c>
      <c r="D190" s="31" t="s">
        <v>206</v>
      </c>
      <c r="E190" s="32" t="s">
        <v>1540</v>
      </c>
      <c r="F190" s="31" t="s">
        <v>151</v>
      </c>
      <c r="G190" s="33" t="s">
        <v>1541</v>
      </c>
      <c r="H190" s="29"/>
    </row>
    <row r="191" ht="22.5" customHeight="1">
      <c r="A191" s="25" t="s">
        <v>1542</v>
      </c>
      <c r="B191" s="31">
        <v>5.585985361414E12</v>
      </c>
      <c r="C191" s="31" t="s">
        <v>205</v>
      </c>
      <c r="D191" s="31" t="s">
        <v>1543</v>
      </c>
      <c r="E191" s="32" t="s">
        <v>1544</v>
      </c>
      <c r="F191" s="31" t="s">
        <v>151</v>
      </c>
      <c r="G191" s="33" t="s">
        <v>1545</v>
      </c>
      <c r="H191" s="29"/>
    </row>
    <row r="192" ht="22.5" customHeight="1">
      <c r="A192" s="25" t="s">
        <v>1546</v>
      </c>
      <c r="B192" s="31">
        <v>5.58531118942E11</v>
      </c>
      <c r="C192" s="31" t="s">
        <v>205</v>
      </c>
      <c r="D192" s="31" t="s">
        <v>206</v>
      </c>
      <c r="E192" s="32" t="s">
        <v>1547</v>
      </c>
      <c r="F192" s="31" t="s">
        <v>151</v>
      </c>
      <c r="G192" s="33" t="s">
        <v>1548</v>
      </c>
      <c r="H192" s="29"/>
    </row>
    <row r="193" ht="22.5" customHeight="1">
      <c r="A193" s="28" t="s">
        <v>1549</v>
      </c>
      <c r="B193" s="31">
        <v>5.58130220001E11</v>
      </c>
      <c r="C193" s="31" t="s">
        <v>170</v>
      </c>
      <c r="D193" s="31" t="s">
        <v>579</v>
      </c>
      <c r="E193" s="32" t="s">
        <v>1311</v>
      </c>
      <c r="F193" s="31" t="s">
        <v>151</v>
      </c>
      <c r="G193" s="33" t="s">
        <v>1550</v>
      </c>
      <c r="H193" s="26" t="s">
        <v>970</v>
      </c>
    </row>
    <row r="194" ht="22.5" customHeight="1">
      <c r="A194" s="25" t="s">
        <v>1551</v>
      </c>
      <c r="B194" s="31">
        <v>5.52124961464E11</v>
      </c>
      <c r="C194" s="31" t="s">
        <v>149</v>
      </c>
      <c r="D194" s="31" t="s">
        <v>624</v>
      </c>
      <c r="E194" s="32" t="s">
        <v>1552</v>
      </c>
      <c r="F194" s="31" t="s">
        <v>151</v>
      </c>
      <c r="G194" s="33" t="s">
        <v>1553</v>
      </c>
      <c r="H194" s="29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2.5" customHeight="1">
      <c r="A195" s="25" t="s">
        <v>1554</v>
      </c>
      <c r="B195" s="31">
        <v>5.52124385158E11</v>
      </c>
      <c r="C195" s="31" t="s">
        <v>149</v>
      </c>
      <c r="D195" s="31" t="s">
        <v>624</v>
      </c>
      <c r="E195" s="32" t="s">
        <v>1555</v>
      </c>
      <c r="F195" s="31" t="s">
        <v>151</v>
      </c>
      <c r="G195" s="33" t="s">
        <v>1556</v>
      </c>
      <c r="H195" s="29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2.5" customHeight="1">
      <c r="A196" s="28" t="s">
        <v>1557</v>
      </c>
      <c r="B196" s="31">
        <v>5.52122396875E11</v>
      </c>
      <c r="C196" s="31" t="s">
        <v>149</v>
      </c>
      <c r="D196" s="31" t="s">
        <v>624</v>
      </c>
      <c r="E196" s="32" t="s">
        <v>1558</v>
      </c>
      <c r="F196" s="31" t="s">
        <v>151</v>
      </c>
      <c r="G196" s="33" t="s">
        <v>1559</v>
      </c>
      <c r="H196" s="29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2.5" customHeight="1">
      <c r="A197" s="25" t="s">
        <v>1560</v>
      </c>
      <c r="B197" s="31">
        <v>5.521349562E11</v>
      </c>
      <c r="C197" s="31" t="s">
        <v>149</v>
      </c>
      <c r="D197" s="31" t="s">
        <v>624</v>
      </c>
      <c r="E197" s="32" t="s">
        <v>1561</v>
      </c>
      <c r="F197" s="31" t="s">
        <v>151</v>
      </c>
      <c r="G197" s="33" t="s">
        <v>1562</v>
      </c>
      <c r="H197" s="29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2.5" customHeight="1">
      <c r="A198" s="25" t="s">
        <v>1563</v>
      </c>
      <c r="B198" s="31">
        <v>5.52122083375E11</v>
      </c>
      <c r="C198" s="31" t="s">
        <v>149</v>
      </c>
      <c r="D198" s="31" t="s">
        <v>624</v>
      </c>
      <c r="E198" s="32" t="s">
        <v>1564</v>
      </c>
      <c r="F198" s="31" t="s">
        <v>182</v>
      </c>
      <c r="G198" s="33" t="s">
        <v>1565</v>
      </c>
      <c r="H198" s="29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2.5" customHeight="1">
      <c r="A199" s="28" t="s">
        <v>1566</v>
      </c>
      <c r="B199" s="31">
        <v>5.52135920027E11</v>
      </c>
      <c r="C199" s="31" t="s">
        <v>149</v>
      </c>
      <c r="D199" s="31" t="s">
        <v>624</v>
      </c>
      <c r="E199" s="32" t="s">
        <v>1567</v>
      </c>
      <c r="F199" s="31" t="s">
        <v>151</v>
      </c>
      <c r="G199" s="33" t="s">
        <v>1568</v>
      </c>
      <c r="H199" s="29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2.5" customHeight="1">
      <c r="A200" s="25" t="s">
        <v>1569</v>
      </c>
      <c r="B200" s="26">
        <v>5.52132687526E11</v>
      </c>
      <c r="C200" s="31" t="s">
        <v>149</v>
      </c>
      <c r="D200" s="31" t="s">
        <v>624</v>
      </c>
      <c r="E200" s="32" t="s">
        <v>1570</v>
      </c>
      <c r="F200" s="31" t="s">
        <v>151</v>
      </c>
      <c r="G200" s="33" t="s">
        <v>1571</v>
      </c>
      <c r="H200" s="29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2.5" customHeight="1">
      <c r="A201" s="28" t="s">
        <v>1572</v>
      </c>
      <c r="B201" s="31">
        <v>5.52125724837E11</v>
      </c>
      <c r="C201" s="31" t="s">
        <v>149</v>
      </c>
      <c r="D201" s="31" t="s">
        <v>624</v>
      </c>
      <c r="E201" s="32" t="s">
        <v>1326</v>
      </c>
      <c r="F201" s="31" t="s">
        <v>151</v>
      </c>
      <c r="G201" s="33" t="s">
        <v>1573</v>
      </c>
      <c r="H201" s="29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2.5" customHeight="1">
      <c r="A202" s="28" t="s">
        <v>1574</v>
      </c>
      <c r="B202" s="31">
        <v>5.52134002174E11</v>
      </c>
      <c r="C202" s="31" t="s">
        <v>149</v>
      </c>
      <c r="D202" s="31" t="s">
        <v>624</v>
      </c>
      <c r="E202" s="32" t="s">
        <v>1575</v>
      </c>
      <c r="F202" s="31" t="s">
        <v>151</v>
      </c>
      <c r="G202" s="33" t="s">
        <v>1576</v>
      </c>
      <c r="H202" s="29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2.5" customHeight="1">
      <c r="A203" s="25" t="s">
        <v>1577</v>
      </c>
      <c r="B203" s="31">
        <v>5.52135476837E11</v>
      </c>
      <c r="C203" s="31" t="s">
        <v>149</v>
      </c>
      <c r="D203" s="31" t="s">
        <v>624</v>
      </c>
      <c r="E203" s="32" t="s">
        <v>1567</v>
      </c>
      <c r="F203" s="31" t="s">
        <v>151</v>
      </c>
      <c r="G203" s="33" t="s">
        <v>1578</v>
      </c>
      <c r="H203" s="29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2.5" customHeight="1">
      <c r="A204" s="25" t="s">
        <v>1579</v>
      </c>
      <c r="B204" s="31">
        <v>5.52133927958E11</v>
      </c>
      <c r="C204" s="31" t="s">
        <v>149</v>
      </c>
      <c r="D204" s="31" t="s">
        <v>624</v>
      </c>
      <c r="E204" s="32" t="s">
        <v>1580</v>
      </c>
      <c r="F204" s="31" t="s">
        <v>151</v>
      </c>
      <c r="G204" s="33" t="s">
        <v>1581</v>
      </c>
      <c r="H204" s="29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2.5" customHeight="1">
      <c r="A205" s="25" t="s">
        <v>1582</v>
      </c>
      <c r="B205" s="31">
        <v>5.5213392323E11</v>
      </c>
      <c r="C205" s="31" t="s">
        <v>149</v>
      </c>
      <c r="D205" s="31" t="s">
        <v>624</v>
      </c>
      <c r="E205" s="32" t="s">
        <v>1248</v>
      </c>
      <c r="F205" s="31" t="s">
        <v>182</v>
      </c>
      <c r="G205" s="33" t="s">
        <v>1583</v>
      </c>
      <c r="H205" s="29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2.5" customHeight="1">
      <c r="A206" s="25" t="s">
        <v>1584</v>
      </c>
      <c r="B206" s="31">
        <v>5.52121358088E11</v>
      </c>
      <c r="C206" s="31" t="s">
        <v>149</v>
      </c>
      <c r="D206" s="31" t="s">
        <v>624</v>
      </c>
      <c r="E206" s="32" t="s">
        <v>1585</v>
      </c>
      <c r="F206" s="31" t="s">
        <v>151</v>
      </c>
      <c r="G206" s="33" t="s">
        <v>1586</v>
      </c>
      <c r="H206" s="29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2.5" customHeight="1">
      <c r="A207" s="28" t="s">
        <v>1587</v>
      </c>
      <c r="B207" s="31">
        <v>5.52134950237E11</v>
      </c>
      <c r="C207" s="31" t="s">
        <v>149</v>
      </c>
      <c r="D207" s="31" t="s">
        <v>624</v>
      </c>
      <c r="E207" s="32" t="s">
        <v>645</v>
      </c>
      <c r="F207" s="31" t="s">
        <v>151</v>
      </c>
      <c r="G207" s="33" t="s">
        <v>1588</v>
      </c>
      <c r="H207" s="26" t="s">
        <v>970</v>
      </c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2.5" customHeight="1">
      <c r="A208" s="28" t="s">
        <v>1589</v>
      </c>
      <c r="B208" s="31">
        <v>5.521998143055E12</v>
      </c>
      <c r="C208" s="31" t="s">
        <v>149</v>
      </c>
      <c r="D208" s="31" t="s">
        <v>624</v>
      </c>
      <c r="E208" s="32" t="s">
        <v>1590</v>
      </c>
      <c r="F208" s="31" t="s">
        <v>196</v>
      </c>
      <c r="G208" s="33" t="s">
        <v>1591</v>
      </c>
      <c r="H208" s="29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2.5" customHeight="1">
      <c r="A209" s="25" t="s">
        <v>1592</v>
      </c>
      <c r="B209" s="31">
        <v>5.52135974108E11</v>
      </c>
      <c r="C209" s="31" t="s">
        <v>149</v>
      </c>
      <c r="D209" s="31" t="s">
        <v>624</v>
      </c>
      <c r="E209" s="32" t="s">
        <v>1593</v>
      </c>
      <c r="F209" s="31" t="s">
        <v>151</v>
      </c>
      <c r="G209" s="33" t="s">
        <v>1594</v>
      </c>
      <c r="H209" s="29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2.5" customHeight="1">
      <c r="A210" s="25" t="s">
        <v>1595</v>
      </c>
      <c r="B210" s="31">
        <v>5.5212527799E11</v>
      </c>
      <c r="C210" s="31" t="s">
        <v>149</v>
      </c>
      <c r="D210" s="31" t="s">
        <v>624</v>
      </c>
      <c r="E210" s="32" t="s">
        <v>1596</v>
      </c>
      <c r="F210" s="31" t="s">
        <v>1597</v>
      </c>
      <c r="G210" s="33" t="s">
        <v>1598</v>
      </c>
      <c r="H210" s="29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2.5" customHeight="1">
      <c r="A211" s="28" t="s">
        <v>1599</v>
      </c>
      <c r="B211" s="31">
        <v>5.52130400282E11</v>
      </c>
      <c r="C211" s="31" t="s">
        <v>149</v>
      </c>
      <c r="D211" s="31" t="s">
        <v>624</v>
      </c>
      <c r="E211" s="32" t="s">
        <v>645</v>
      </c>
      <c r="F211" s="31" t="s">
        <v>151</v>
      </c>
      <c r="G211" s="33" t="s">
        <v>1600</v>
      </c>
      <c r="H211" s="29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2.5" customHeight="1">
      <c r="A212" s="33" t="s">
        <v>1601</v>
      </c>
      <c r="B212" s="31">
        <v>5.58199966233E12</v>
      </c>
      <c r="C212" s="31" t="s">
        <v>170</v>
      </c>
      <c r="D212" s="31" t="s">
        <v>1602</v>
      </c>
      <c r="E212" s="32" t="s">
        <v>1603</v>
      </c>
      <c r="F212" s="31" t="s">
        <v>162</v>
      </c>
      <c r="G212" s="33" t="s">
        <v>1604</v>
      </c>
      <c r="H212" s="29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22.5" customHeight="1">
      <c r="A213" s="33" t="s">
        <v>1605</v>
      </c>
      <c r="B213" s="31">
        <v>5.522998275138E12</v>
      </c>
      <c r="C213" s="31" t="s">
        <v>149</v>
      </c>
      <c r="D213" s="31" t="s">
        <v>150</v>
      </c>
      <c r="E213" s="32" t="s">
        <v>1606</v>
      </c>
      <c r="F213" s="31" t="s">
        <v>1607</v>
      </c>
      <c r="G213" s="33" t="s">
        <v>1608</v>
      </c>
      <c r="H213" s="29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2.5" customHeight="1">
      <c r="A214" s="33" t="s">
        <v>1609</v>
      </c>
      <c r="B214" s="31">
        <v>5.579302627E11</v>
      </c>
      <c r="C214" s="31" t="s">
        <v>242</v>
      </c>
      <c r="D214" s="31" t="s">
        <v>696</v>
      </c>
      <c r="E214" s="32" t="s">
        <v>1610</v>
      </c>
      <c r="F214" s="31" t="s">
        <v>151</v>
      </c>
      <c r="G214" s="51" t="s">
        <v>1611</v>
      </c>
      <c r="H214" s="29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2.5" customHeight="1">
      <c r="A215" s="33" t="s">
        <v>1612</v>
      </c>
      <c r="B215" s="31">
        <v>5.57981290075E11</v>
      </c>
      <c r="C215" s="31" t="s">
        <v>242</v>
      </c>
      <c r="D215" s="31" t="s">
        <v>696</v>
      </c>
      <c r="E215" s="32" t="s">
        <v>1613</v>
      </c>
      <c r="F215" s="31" t="s">
        <v>162</v>
      </c>
      <c r="G215" s="33" t="s">
        <v>1614</v>
      </c>
      <c r="H215" s="29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30.75" customHeight="1">
      <c r="A216" s="33" t="s">
        <v>1615</v>
      </c>
      <c r="B216" s="31">
        <v>5.596999023996E12</v>
      </c>
      <c r="C216" s="31" t="s">
        <v>701</v>
      </c>
      <c r="D216" s="31" t="s">
        <v>702</v>
      </c>
      <c r="E216" s="32" t="s">
        <v>1616</v>
      </c>
      <c r="F216" s="31" t="s">
        <v>151</v>
      </c>
      <c r="G216" s="33" t="s">
        <v>1617</v>
      </c>
      <c r="H216" s="29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45.0" customHeight="1">
      <c r="A217" s="33" t="s">
        <v>1618</v>
      </c>
      <c r="B217" s="31">
        <v>5.596991546774E12</v>
      </c>
      <c r="C217" s="31" t="s">
        <v>701</v>
      </c>
      <c r="D217" s="31" t="s">
        <v>702</v>
      </c>
      <c r="E217" s="32" t="s">
        <v>1619</v>
      </c>
      <c r="F217" s="31" t="s">
        <v>1607</v>
      </c>
      <c r="G217" s="33" t="s">
        <v>1620</v>
      </c>
      <c r="H217" s="29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2.5" customHeight="1">
      <c r="A218" s="25" t="s">
        <v>1621</v>
      </c>
      <c r="B218" s="31">
        <v>5.53230310959E11</v>
      </c>
      <c r="C218" s="31" t="s">
        <v>166</v>
      </c>
      <c r="D218" s="31" t="s">
        <v>706</v>
      </c>
      <c r="E218" s="32" t="s">
        <v>1622</v>
      </c>
      <c r="F218" s="31" t="s">
        <v>151</v>
      </c>
      <c r="G218" s="33" t="s">
        <v>1623</v>
      </c>
      <c r="H218" s="29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2.5" customHeight="1">
      <c r="A219" s="25" t="s">
        <v>1624</v>
      </c>
      <c r="B219" s="31">
        <v>5.5323224665E11</v>
      </c>
      <c r="C219" s="31" t="s">
        <v>166</v>
      </c>
      <c r="D219" s="31" t="s">
        <v>706</v>
      </c>
      <c r="E219" s="32" t="s">
        <v>1625</v>
      </c>
      <c r="F219" s="31" t="s">
        <v>196</v>
      </c>
      <c r="G219" s="33" t="s">
        <v>1626</v>
      </c>
      <c r="H219" s="29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2.5" customHeight="1">
      <c r="A220" s="25" t="s">
        <v>1627</v>
      </c>
      <c r="B220" s="31">
        <v>5.5323083757E11</v>
      </c>
      <c r="C220" s="31" t="s">
        <v>166</v>
      </c>
      <c r="D220" s="31" t="s">
        <v>706</v>
      </c>
      <c r="E220" s="32" t="s">
        <v>1357</v>
      </c>
      <c r="F220" s="31" t="s">
        <v>151</v>
      </c>
      <c r="G220" s="33" t="s">
        <v>1628</v>
      </c>
      <c r="H220" s="29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2.5" customHeight="1">
      <c r="A221" s="25" t="s">
        <v>1629</v>
      </c>
      <c r="B221" s="31">
        <v>5.53232177792E11</v>
      </c>
      <c r="C221" s="31" t="s">
        <v>166</v>
      </c>
      <c r="D221" s="31" t="s">
        <v>706</v>
      </c>
      <c r="E221" s="32" t="s">
        <v>1630</v>
      </c>
      <c r="F221" s="31" t="s">
        <v>871</v>
      </c>
      <c r="G221" s="33" t="s">
        <v>1631</v>
      </c>
      <c r="H221" s="29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2.5" customHeight="1">
      <c r="A222" s="25" t="s">
        <v>1632</v>
      </c>
      <c r="B222" s="31">
        <v>5.53230267779E11</v>
      </c>
      <c r="C222" s="31" t="s">
        <v>166</v>
      </c>
      <c r="D222" s="31" t="s">
        <v>706</v>
      </c>
      <c r="E222" s="32" t="s">
        <v>1633</v>
      </c>
      <c r="F222" s="31" t="s">
        <v>151</v>
      </c>
      <c r="G222" s="33" t="s">
        <v>1634</v>
      </c>
      <c r="H222" s="29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2.5" customHeight="1">
      <c r="A223" s="25" t="s">
        <v>1635</v>
      </c>
      <c r="B223" s="31">
        <v>5.53232112353E11</v>
      </c>
      <c r="C223" s="31" t="s">
        <v>166</v>
      </c>
      <c r="D223" s="31" t="s">
        <v>706</v>
      </c>
      <c r="E223" s="32" t="s">
        <v>1622</v>
      </c>
      <c r="F223" s="31" t="s">
        <v>871</v>
      </c>
      <c r="G223" s="33" t="s">
        <v>1636</v>
      </c>
      <c r="H223" s="29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2.5" customHeight="1">
      <c r="A224" s="25" t="s">
        <v>1637</v>
      </c>
      <c r="B224" s="31">
        <v>5.53232220479E11</v>
      </c>
      <c r="C224" s="31" t="s">
        <v>166</v>
      </c>
      <c r="D224" s="31" t="s">
        <v>706</v>
      </c>
      <c r="E224" s="32" t="s">
        <v>1638</v>
      </c>
      <c r="F224" s="31" t="s">
        <v>151</v>
      </c>
      <c r="G224" s="33" t="s">
        <v>1639</v>
      </c>
      <c r="H224" s="29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2.5" customHeight="1">
      <c r="A225" s="25" t="s">
        <v>1640</v>
      </c>
      <c r="B225" s="31">
        <v>5.53230314141E11</v>
      </c>
      <c r="C225" s="31" t="s">
        <v>166</v>
      </c>
      <c r="D225" s="31" t="s">
        <v>706</v>
      </c>
      <c r="E225" s="32" t="s">
        <v>1071</v>
      </c>
      <c r="F225" s="31" t="s">
        <v>151</v>
      </c>
      <c r="G225" s="33" t="s">
        <v>1641</v>
      </c>
      <c r="H225" s="29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2.5" customHeight="1">
      <c r="A226" s="25" t="s">
        <v>1642</v>
      </c>
      <c r="B226" s="31">
        <v>5.53232364126E11</v>
      </c>
      <c r="C226" s="31" t="s">
        <v>166</v>
      </c>
      <c r="D226" s="31" t="s">
        <v>706</v>
      </c>
      <c r="E226" s="32" t="s">
        <v>108</v>
      </c>
      <c r="F226" s="31" t="s">
        <v>151</v>
      </c>
      <c r="G226" s="33" t="s">
        <v>1643</v>
      </c>
      <c r="H226" s="26" t="s">
        <v>970</v>
      </c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2.5" customHeight="1">
      <c r="A227" s="25" t="s">
        <v>1644</v>
      </c>
      <c r="B227" s="31">
        <v>5.53230177189E11</v>
      </c>
      <c r="C227" s="31" t="s">
        <v>166</v>
      </c>
      <c r="D227" s="31" t="s">
        <v>706</v>
      </c>
      <c r="E227" s="32" t="s">
        <v>1645</v>
      </c>
      <c r="F227" s="31" t="s">
        <v>871</v>
      </c>
      <c r="G227" s="33" t="s">
        <v>1646</v>
      </c>
      <c r="H227" s="29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2.5" customHeight="1">
      <c r="A228" s="25" t="s">
        <v>1647</v>
      </c>
      <c r="B228" s="31">
        <v>5.53232112254E11</v>
      </c>
      <c r="C228" s="31" t="s">
        <v>166</v>
      </c>
      <c r="D228" s="31" t="s">
        <v>706</v>
      </c>
      <c r="E228" s="32" t="s">
        <v>1648</v>
      </c>
      <c r="F228" s="31" t="s">
        <v>151</v>
      </c>
      <c r="G228" s="33" t="s">
        <v>1649</v>
      </c>
      <c r="H228" s="29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2.5" customHeight="1">
      <c r="A229" s="25" t="s">
        <v>1650</v>
      </c>
      <c r="B229" s="31">
        <v>5.53232127252E11</v>
      </c>
      <c r="C229" s="31" t="s">
        <v>166</v>
      </c>
      <c r="D229" s="31" t="s">
        <v>706</v>
      </c>
      <c r="E229" s="32" t="s">
        <v>1199</v>
      </c>
      <c r="F229" s="31" t="s">
        <v>151</v>
      </c>
      <c r="G229" s="33" t="s">
        <v>1651</v>
      </c>
      <c r="H229" s="29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2.5" customHeight="1">
      <c r="A230" s="25" t="s">
        <v>1652</v>
      </c>
      <c r="B230" s="31">
        <v>5.5323211745E11</v>
      </c>
      <c r="C230" s="31" t="s">
        <v>166</v>
      </c>
      <c r="D230" s="31" t="s">
        <v>706</v>
      </c>
      <c r="E230" s="32" t="s">
        <v>1653</v>
      </c>
      <c r="F230" s="31" t="s">
        <v>151</v>
      </c>
      <c r="G230" s="33" t="s">
        <v>1654</v>
      </c>
      <c r="H230" s="29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2.5" customHeight="1">
      <c r="A231" s="25" t="s">
        <v>764</v>
      </c>
      <c r="B231" s="31">
        <v>5.55432216154E11</v>
      </c>
      <c r="C231" s="31" t="s">
        <v>361</v>
      </c>
      <c r="D231" s="31" t="s">
        <v>710</v>
      </c>
      <c r="E231" s="32" t="s">
        <v>1199</v>
      </c>
      <c r="F231" s="31" t="s">
        <v>151</v>
      </c>
      <c r="G231" s="33" t="s">
        <v>1655</v>
      </c>
      <c r="H231" s="29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2.5" customHeight="1">
      <c r="A232" s="25" t="s">
        <v>1656</v>
      </c>
      <c r="B232" s="31">
        <v>5.55434199092E11</v>
      </c>
      <c r="C232" s="31" t="s">
        <v>361</v>
      </c>
      <c r="D232" s="31" t="s">
        <v>710</v>
      </c>
      <c r="E232" s="32" t="s">
        <v>1657</v>
      </c>
      <c r="F232" s="31" t="s">
        <v>151</v>
      </c>
      <c r="G232" s="33" t="s">
        <v>1658</v>
      </c>
      <c r="H232" s="29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2.5" customHeight="1">
      <c r="A233" s="25" t="s">
        <v>1659</v>
      </c>
      <c r="B233" s="31">
        <v>5.55430257177E11</v>
      </c>
      <c r="C233" s="31" t="s">
        <v>361</v>
      </c>
      <c r="D233" s="31" t="s">
        <v>710</v>
      </c>
      <c r="E233" s="32" t="s">
        <v>1205</v>
      </c>
      <c r="F233" s="31" t="s">
        <v>182</v>
      </c>
      <c r="G233" s="33" t="s">
        <v>1660</v>
      </c>
      <c r="H233" s="29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2.5" customHeight="1">
      <c r="A234" s="25" t="s">
        <v>1661</v>
      </c>
      <c r="B234" s="31">
        <v>5.554984282124E12</v>
      </c>
      <c r="C234" s="31" t="s">
        <v>361</v>
      </c>
      <c r="D234" s="31" t="s">
        <v>710</v>
      </c>
      <c r="E234" s="32" t="s">
        <v>1662</v>
      </c>
      <c r="F234" s="31" t="s">
        <v>871</v>
      </c>
      <c r="G234" s="33" t="s">
        <v>1663</v>
      </c>
      <c r="H234" s="29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2.5" customHeight="1">
      <c r="A235" s="28" t="s">
        <v>1664</v>
      </c>
      <c r="B235" s="31">
        <v>5.524999988511E12</v>
      </c>
      <c r="C235" s="31" t="s">
        <v>149</v>
      </c>
      <c r="D235" s="31" t="s">
        <v>723</v>
      </c>
      <c r="E235" s="32" t="s">
        <v>1257</v>
      </c>
      <c r="F235" s="31" t="s">
        <v>151</v>
      </c>
      <c r="G235" s="33" t="s">
        <v>1665</v>
      </c>
      <c r="H235" s="29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2.5" customHeight="1">
      <c r="A236" s="25" t="s">
        <v>1666</v>
      </c>
      <c r="B236" s="31">
        <v>5.5243368657E11</v>
      </c>
      <c r="C236" s="31" t="s">
        <v>149</v>
      </c>
      <c r="D236" s="31" t="s">
        <v>723</v>
      </c>
      <c r="E236" s="32" t="s">
        <v>1667</v>
      </c>
      <c r="F236" s="31" t="s">
        <v>1597</v>
      </c>
      <c r="G236" s="33" t="s">
        <v>1668</v>
      </c>
      <c r="H236" s="29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2.5" customHeight="1">
      <c r="A237" s="25" t="s">
        <v>1669</v>
      </c>
      <c r="B237" s="31">
        <v>5.56821025386E11</v>
      </c>
      <c r="C237" s="31" t="s">
        <v>727</v>
      </c>
      <c r="D237" s="31" t="s">
        <v>728</v>
      </c>
      <c r="E237" s="32" t="s">
        <v>1366</v>
      </c>
      <c r="F237" s="31" t="s">
        <v>151</v>
      </c>
      <c r="G237" s="33" t="s">
        <v>1670</v>
      </c>
      <c r="H237" s="29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2.5" customHeight="1">
      <c r="A238" s="25" t="s">
        <v>1671</v>
      </c>
      <c r="B238" s="31">
        <v>5.56833017636E11</v>
      </c>
      <c r="C238" s="31" t="s">
        <v>727</v>
      </c>
      <c r="D238" s="31" t="s">
        <v>728</v>
      </c>
      <c r="E238" s="32" t="s">
        <v>1575</v>
      </c>
      <c r="F238" s="31" t="s">
        <v>151</v>
      </c>
      <c r="G238" s="33" t="s">
        <v>1672</v>
      </c>
      <c r="H238" s="29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2.5" customHeight="1">
      <c r="A239" s="25" t="s">
        <v>1673</v>
      </c>
      <c r="B239" s="31">
        <v>5.568999453095E12</v>
      </c>
      <c r="C239" s="31" t="s">
        <v>727</v>
      </c>
      <c r="D239" s="31" t="s">
        <v>728</v>
      </c>
      <c r="E239" s="32" t="s">
        <v>1272</v>
      </c>
      <c r="F239" s="31" t="s">
        <v>151</v>
      </c>
      <c r="G239" s="33" t="s">
        <v>1674</v>
      </c>
      <c r="H239" s="29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2.5" customHeight="1">
      <c r="A240" s="25" t="s">
        <v>1675</v>
      </c>
      <c r="B240" s="31">
        <v>5.58632338449E11</v>
      </c>
      <c r="C240" s="31" t="s">
        <v>742</v>
      </c>
      <c r="D240" s="31" t="s">
        <v>743</v>
      </c>
      <c r="E240" s="32" t="s">
        <v>1329</v>
      </c>
      <c r="F240" s="31" t="s">
        <v>151</v>
      </c>
      <c r="G240" s="33" t="s">
        <v>1676</v>
      </c>
      <c r="H240" s="29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2.5" customHeight="1">
      <c r="A241" s="25" t="s">
        <v>1677</v>
      </c>
      <c r="B241" s="26">
        <v>5.586981330369E12</v>
      </c>
      <c r="C241" s="31" t="s">
        <v>742</v>
      </c>
      <c r="D241" s="31" t="s">
        <v>1678</v>
      </c>
      <c r="E241" s="32" t="s">
        <v>1679</v>
      </c>
      <c r="F241" s="31" t="s">
        <v>151</v>
      </c>
      <c r="G241" s="33" t="s">
        <v>1680</v>
      </c>
      <c r="H241" s="29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2.5" customHeight="1">
      <c r="A242" s="25" t="s">
        <v>1681</v>
      </c>
      <c r="B242" s="52">
        <v>5.58633212985E11</v>
      </c>
      <c r="C242" s="31" t="s">
        <v>742</v>
      </c>
      <c r="D242" s="31" t="s">
        <v>1678</v>
      </c>
      <c r="E242" s="32" t="s">
        <v>1682</v>
      </c>
      <c r="F242" s="31" t="s">
        <v>151</v>
      </c>
      <c r="G242" s="33" t="s">
        <v>1683</v>
      </c>
      <c r="H242" s="29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2.5" customHeight="1">
      <c r="A243" s="25" t="s">
        <v>1684</v>
      </c>
      <c r="B243" s="31">
        <v>5.5863220199E11</v>
      </c>
      <c r="C243" s="31" t="s">
        <v>742</v>
      </c>
      <c r="D243" s="31" t="s">
        <v>743</v>
      </c>
      <c r="E243" s="32" t="s">
        <v>1685</v>
      </c>
      <c r="F243" s="31" t="s">
        <v>151</v>
      </c>
      <c r="G243" s="33" t="s">
        <v>1686</v>
      </c>
      <c r="H243" s="29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2.5" customHeight="1">
      <c r="A244" s="25" t="s">
        <v>1687</v>
      </c>
      <c r="B244" s="26">
        <v>5.59532241109E11</v>
      </c>
      <c r="C244" s="26" t="s">
        <v>892</v>
      </c>
      <c r="D244" s="26" t="s">
        <v>893</v>
      </c>
      <c r="E244" s="27" t="s">
        <v>1272</v>
      </c>
      <c r="F244" s="26" t="s">
        <v>151</v>
      </c>
      <c r="G244" s="25" t="s">
        <v>1688</v>
      </c>
      <c r="H244" s="77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2.5" customHeight="1">
      <c r="A245" s="25" t="s">
        <v>1689</v>
      </c>
      <c r="B245" s="26">
        <v>5.595981123605E12</v>
      </c>
      <c r="C245" s="26" t="s">
        <v>892</v>
      </c>
      <c r="D245" s="26" t="s">
        <v>893</v>
      </c>
      <c r="E245" s="27" t="s">
        <v>1272</v>
      </c>
      <c r="F245" s="26" t="s">
        <v>151</v>
      </c>
      <c r="G245" s="25" t="s">
        <v>1690</v>
      </c>
      <c r="H245" s="77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2.5" customHeight="1">
      <c r="A246" s="25" t="s">
        <v>1691</v>
      </c>
      <c r="B246" s="26">
        <v>5.59536239193E11</v>
      </c>
      <c r="C246" s="26" t="s">
        <v>892</v>
      </c>
      <c r="D246" s="26" t="s">
        <v>893</v>
      </c>
      <c r="E246" s="27" t="s">
        <v>1257</v>
      </c>
      <c r="F246" s="26" t="s">
        <v>151</v>
      </c>
      <c r="G246" s="25" t="s">
        <v>1692</v>
      </c>
      <c r="H246" s="77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2.5" customHeight="1">
      <c r="A247" s="25" t="s">
        <v>1693</v>
      </c>
      <c r="B247" s="26">
        <v>5.56999273231E12</v>
      </c>
      <c r="C247" s="26" t="s">
        <v>765</v>
      </c>
      <c r="D247" s="26" t="s">
        <v>897</v>
      </c>
      <c r="E247" s="27" t="s">
        <v>72</v>
      </c>
      <c r="F247" s="26" t="s">
        <v>151</v>
      </c>
      <c r="G247" s="25" t="s">
        <v>1694</v>
      </c>
      <c r="H247" s="73" t="s">
        <v>970</v>
      </c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2.5" customHeight="1">
      <c r="A248" s="25" t="s">
        <v>1198</v>
      </c>
      <c r="B248" s="26">
        <v>5.569984230777E12</v>
      </c>
      <c r="C248" s="26" t="s">
        <v>765</v>
      </c>
      <c r="D248" s="26" t="s">
        <v>897</v>
      </c>
      <c r="E248" s="27" t="s">
        <v>1199</v>
      </c>
      <c r="F248" s="26" t="s">
        <v>196</v>
      </c>
      <c r="G248" s="25" t="s">
        <v>1695</v>
      </c>
      <c r="H248" s="77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2.5" customHeight="1">
      <c r="A249" s="25" t="s">
        <v>1696</v>
      </c>
      <c r="B249" s="26">
        <v>5.569992529964E12</v>
      </c>
      <c r="C249" s="26" t="s">
        <v>765</v>
      </c>
      <c r="D249" s="26" t="s">
        <v>897</v>
      </c>
      <c r="E249" s="27" t="s">
        <v>1697</v>
      </c>
      <c r="F249" s="26" t="s">
        <v>871</v>
      </c>
      <c r="G249" s="25" t="s">
        <v>1698</v>
      </c>
      <c r="H249" s="77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2.5" customHeight="1">
      <c r="A250" s="25" t="s">
        <v>1699</v>
      </c>
      <c r="B250" s="26">
        <v>5.56998138055E12</v>
      </c>
      <c r="C250" s="26" t="s">
        <v>765</v>
      </c>
      <c r="D250" s="26" t="s">
        <v>1700</v>
      </c>
      <c r="E250" s="27" t="s">
        <v>1701</v>
      </c>
      <c r="F250" s="26" t="s">
        <v>151</v>
      </c>
      <c r="G250" s="25" t="s">
        <v>1702</v>
      </c>
      <c r="H250" s="77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2.5" customHeight="1">
      <c r="A251" s="25" t="s">
        <v>1703</v>
      </c>
      <c r="B251" s="26">
        <v>5.569993078195E12</v>
      </c>
      <c r="C251" s="26" t="s">
        <v>765</v>
      </c>
      <c r="D251" s="26" t="s">
        <v>1704</v>
      </c>
      <c r="E251" s="27" t="s">
        <v>1705</v>
      </c>
      <c r="F251" s="26" t="s">
        <v>151</v>
      </c>
      <c r="G251" s="25" t="s">
        <v>1706</v>
      </c>
      <c r="H251" s="77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2.5" customHeight="1">
      <c r="A252" s="25" t="s">
        <v>1707</v>
      </c>
      <c r="B252" s="26">
        <v>5.56934238749E11</v>
      </c>
      <c r="C252" s="26" t="s">
        <v>765</v>
      </c>
      <c r="D252" s="26" t="s">
        <v>1704</v>
      </c>
      <c r="E252" s="27" t="s">
        <v>1272</v>
      </c>
      <c r="F252" s="26" t="s">
        <v>151</v>
      </c>
      <c r="G252" s="25" t="s">
        <v>1708</v>
      </c>
      <c r="H252" s="77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2.5" customHeight="1">
      <c r="A253" s="25" t="s">
        <v>1709</v>
      </c>
      <c r="B253" s="26">
        <v>5.569993200499E12</v>
      </c>
      <c r="C253" s="26" t="s">
        <v>765</v>
      </c>
      <c r="D253" s="26" t="s">
        <v>1704</v>
      </c>
      <c r="E253" s="27" t="s">
        <v>1309</v>
      </c>
      <c r="F253" s="26" t="s">
        <v>151</v>
      </c>
      <c r="G253" s="25" t="s">
        <v>1710</v>
      </c>
      <c r="H253" s="77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2.5" customHeight="1">
      <c r="A254" s="25" t="s">
        <v>1711</v>
      </c>
      <c r="B254" s="26">
        <v>5.56333228016E11</v>
      </c>
      <c r="C254" s="26" t="s">
        <v>751</v>
      </c>
      <c r="D254" s="26" t="s">
        <v>752</v>
      </c>
      <c r="E254" s="27" t="s">
        <v>1712</v>
      </c>
      <c r="F254" s="26" t="s">
        <v>151</v>
      </c>
      <c r="G254" s="25" t="s">
        <v>1713</v>
      </c>
      <c r="H254" s="77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2.5" customHeight="1">
      <c r="A255" s="25" t="s">
        <v>1714</v>
      </c>
      <c r="B255" s="26">
        <v>5.56332198026E11</v>
      </c>
      <c r="C255" s="26" t="s">
        <v>751</v>
      </c>
      <c r="D255" s="26" t="s">
        <v>752</v>
      </c>
      <c r="E255" s="27" t="s">
        <v>1715</v>
      </c>
      <c r="F255" s="26" t="s">
        <v>151</v>
      </c>
      <c r="G255" s="25" t="s">
        <v>1716</v>
      </c>
      <c r="H255" s="77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2.5" customHeight="1">
      <c r="A256" s="25" t="s">
        <v>1717</v>
      </c>
      <c r="B256" s="26">
        <v>5.56332160033E11</v>
      </c>
      <c r="C256" s="26" t="s">
        <v>751</v>
      </c>
      <c r="D256" s="26" t="s">
        <v>752</v>
      </c>
      <c r="E256" s="27" t="s">
        <v>1335</v>
      </c>
      <c r="F256" s="26" t="s">
        <v>151</v>
      </c>
      <c r="G256" s="25" t="s">
        <v>1718</v>
      </c>
      <c r="H256" s="77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2.5" customHeight="1">
      <c r="A257" s="25" t="s">
        <v>1719</v>
      </c>
      <c r="B257" s="26">
        <v>5.56530522466E11</v>
      </c>
      <c r="C257" s="26" t="s">
        <v>1720</v>
      </c>
      <c r="D257" s="26" t="s">
        <v>1721</v>
      </c>
      <c r="E257" s="27" t="s">
        <v>1371</v>
      </c>
      <c r="F257" s="26" t="s">
        <v>151</v>
      </c>
      <c r="G257" s="25" t="s">
        <v>1722</v>
      </c>
      <c r="H257" s="77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2.5" customHeight="1">
      <c r="A258" s="25" t="s">
        <v>1723</v>
      </c>
      <c r="B258" s="26">
        <v>5.56533598384E11</v>
      </c>
      <c r="C258" s="26" t="s">
        <v>1720</v>
      </c>
      <c r="D258" s="26" t="s">
        <v>1721</v>
      </c>
      <c r="E258" s="27" t="s">
        <v>1309</v>
      </c>
      <c r="F258" s="26" t="s">
        <v>151</v>
      </c>
      <c r="G258" s="25" t="s">
        <v>1724</v>
      </c>
      <c r="H258" s="77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2.5" customHeight="1">
      <c r="A259" s="25" t="s">
        <v>1725</v>
      </c>
      <c r="B259" s="26">
        <v>5.565999883109E12</v>
      </c>
      <c r="C259" s="26" t="s">
        <v>1720</v>
      </c>
      <c r="D259" s="26" t="s">
        <v>1721</v>
      </c>
      <c r="E259" s="27" t="s">
        <v>1726</v>
      </c>
      <c r="F259" s="26" t="s">
        <v>151</v>
      </c>
      <c r="G259" s="25" t="s">
        <v>1727</v>
      </c>
      <c r="H259" s="77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2.5" customHeight="1">
      <c r="A260" s="25" t="s">
        <v>1728</v>
      </c>
      <c r="B260" s="26">
        <v>5.565996494674E12</v>
      </c>
      <c r="C260" s="26" t="s">
        <v>1720</v>
      </c>
      <c r="D260" s="26" t="s">
        <v>1721</v>
      </c>
      <c r="E260" s="27" t="s">
        <v>1235</v>
      </c>
      <c r="F260" s="26" t="s">
        <v>151</v>
      </c>
      <c r="G260" s="25" t="s">
        <v>1729</v>
      </c>
      <c r="H260" s="77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2.5" customHeight="1">
      <c r="A261" s="25" t="s">
        <v>1730</v>
      </c>
      <c r="B261" s="26">
        <v>5.565305505E11</v>
      </c>
      <c r="C261" s="26" t="s">
        <v>1720</v>
      </c>
      <c r="D261" s="26" t="s">
        <v>1721</v>
      </c>
      <c r="E261" s="27" t="s">
        <v>1731</v>
      </c>
      <c r="F261" s="26" t="s">
        <v>151</v>
      </c>
      <c r="G261" s="25" t="s">
        <v>1732</v>
      </c>
      <c r="H261" s="77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2.5" customHeight="1">
      <c r="A262" s="25" t="s">
        <v>1733</v>
      </c>
      <c r="B262" s="26">
        <v>5.56530284545E11</v>
      </c>
      <c r="C262" s="26" t="s">
        <v>1720</v>
      </c>
      <c r="D262" s="26" t="s">
        <v>1721</v>
      </c>
      <c r="E262" s="27" t="s">
        <v>1734</v>
      </c>
      <c r="F262" s="26" t="s">
        <v>151</v>
      </c>
      <c r="G262" s="25" t="s">
        <v>1735</v>
      </c>
      <c r="H262" s="77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2.5" customHeight="1">
      <c r="A263" s="25" t="s">
        <v>1736</v>
      </c>
      <c r="B263" s="26">
        <v>5.56533590996E11</v>
      </c>
      <c r="C263" s="26" t="s">
        <v>1720</v>
      </c>
      <c r="D263" s="26" t="s">
        <v>1721</v>
      </c>
      <c r="E263" s="27" t="s">
        <v>1087</v>
      </c>
      <c r="F263" s="26" t="s">
        <v>151</v>
      </c>
      <c r="G263" s="25" t="s">
        <v>1737</v>
      </c>
      <c r="H263" s="77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2.5" customHeight="1">
      <c r="A264" s="25" t="s">
        <v>1738</v>
      </c>
      <c r="B264" s="26">
        <v>5.56536275909E11</v>
      </c>
      <c r="C264" s="26" t="s">
        <v>1720</v>
      </c>
      <c r="D264" s="26" t="s">
        <v>1721</v>
      </c>
      <c r="E264" s="27" t="s">
        <v>1739</v>
      </c>
      <c r="F264" s="26" t="s">
        <v>151</v>
      </c>
      <c r="G264" s="25" t="s">
        <v>1740</v>
      </c>
      <c r="H264" s="77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2.5" customHeight="1">
      <c r="A265" s="25" t="s">
        <v>1741</v>
      </c>
      <c r="B265" s="26">
        <v>5.56536235048E11</v>
      </c>
      <c r="C265" s="26" t="s">
        <v>1720</v>
      </c>
      <c r="D265" s="26" t="s">
        <v>1721</v>
      </c>
      <c r="E265" s="27" t="s">
        <v>1262</v>
      </c>
      <c r="F265" s="26" t="s">
        <v>151</v>
      </c>
      <c r="G265" s="25" t="s">
        <v>1742</v>
      </c>
      <c r="H265" s="77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2.5" customHeight="1">
      <c r="A266" s="25" t="s">
        <v>1743</v>
      </c>
      <c r="B266" s="26">
        <v>5.5653646898E11</v>
      </c>
      <c r="C266" s="26" t="s">
        <v>1720</v>
      </c>
      <c r="D266" s="26" t="s">
        <v>1721</v>
      </c>
      <c r="E266" s="27" t="s">
        <v>1744</v>
      </c>
      <c r="F266" s="26" t="s">
        <v>151</v>
      </c>
      <c r="G266" s="25" t="s">
        <v>1745</v>
      </c>
      <c r="H266" s="77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2.5" customHeight="1">
      <c r="A267" s="25" t="s">
        <v>1746</v>
      </c>
      <c r="B267" s="26">
        <v>5.59132593547E11</v>
      </c>
      <c r="C267" s="26" t="s">
        <v>285</v>
      </c>
      <c r="D267" s="26" t="s">
        <v>286</v>
      </c>
      <c r="E267" s="27" t="s">
        <v>1366</v>
      </c>
      <c r="F267" s="26" t="s">
        <v>151</v>
      </c>
      <c r="G267" s="25" t="s">
        <v>1747</v>
      </c>
      <c r="H267" s="77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2.5" customHeight="1">
      <c r="A268" s="25" t="s">
        <v>1748</v>
      </c>
      <c r="B268" s="26">
        <v>5.591982704711E12</v>
      </c>
      <c r="C268" s="26" t="s">
        <v>285</v>
      </c>
      <c r="D268" s="26" t="s">
        <v>286</v>
      </c>
      <c r="E268" s="27" t="s">
        <v>1272</v>
      </c>
      <c r="F268" s="26" t="s">
        <v>151</v>
      </c>
      <c r="G268" s="25" t="s">
        <v>1749</v>
      </c>
      <c r="H268" s="77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2.5" customHeight="1">
      <c r="A269" s="25" t="s">
        <v>1750</v>
      </c>
      <c r="B269" s="26">
        <v>5.59121218586E11</v>
      </c>
      <c r="C269" s="26" t="s">
        <v>285</v>
      </c>
      <c r="D269" s="26" t="s">
        <v>286</v>
      </c>
      <c r="E269" s="27" t="s">
        <v>1751</v>
      </c>
      <c r="F269" s="26" t="s">
        <v>151</v>
      </c>
      <c r="G269" s="25" t="s">
        <v>1752</v>
      </c>
      <c r="H269" s="77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2.5" customHeight="1">
      <c r="A270" s="25" t="s">
        <v>1753</v>
      </c>
      <c r="B270" s="26">
        <v>5.59132522708E11</v>
      </c>
      <c r="C270" s="26" t="s">
        <v>285</v>
      </c>
      <c r="D270" s="26" t="s">
        <v>286</v>
      </c>
      <c r="E270" s="27" t="s">
        <v>1754</v>
      </c>
      <c r="F270" s="26" t="s">
        <v>151</v>
      </c>
      <c r="G270" s="25" t="s">
        <v>1755</v>
      </c>
      <c r="H270" s="77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2.5" customHeight="1">
      <c r="A271" s="25" t="s">
        <v>1756</v>
      </c>
      <c r="B271" s="26">
        <v>5.59132484731E11</v>
      </c>
      <c r="C271" s="26" t="s">
        <v>285</v>
      </c>
      <c r="D271" s="26" t="s">
        <v>286</v>
      </c>
      <c r="E271" s="27" t="s">
        <v>1685</v>
      </c>
      <c r="F271" s="26" t="s">
        <v>196</v>
      </c>
      <c r="G271" s="25" t="s">
        <v>1757</v>
      </c>
      <c r="H271" s="77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2.5" customHeight="1">
      <c r="A272" s="28" t="s">
        <v>1758</v>
      </c>
      <c r="B272" s="26">
        <v>5.59132416363E11</v>
      </c>
      <c r="C272" s="26" t="s">
        <v>1759</v>
      </c>
      <c r="D272" s="26" t="s">
        <v>286</v>
      </c>
      <c r="E272" s="27" t="s">
        <v>1760</v>
      </c>
      <c r="F272" s="26" t="s">
        <v>151</v>
      </c>
      <c r="G272" s="25" t="s">
        <v>1761</v>
      </c>
      <c r="H272" s="77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2.5" customHeight="1">
      <c r="A273" s="25" t="s">
        <v>1762</v>
      </c>
      <c r="B273" s="26">
        <v>5.59236639898E11</v>
      </c>
      <c r="C273" s="26" t="s">
        <v>1265</v>
      </c>
      <c r="D273" s="26" t="s">
        <v>1266</v>
      </c>
      <c r="E273" s="27" t="s">
        <v>1262</v>
      </c>
      <c r="F273" s="26" t="s">
        <v>151</v>
      </c>
      <c r="G273" s="25" t="s">
        <v>1763</v>
      </c>
      <c r="H273" s="77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2.5" customHeight="1">
      <c r="A274" s="25" t="s">
        <v>1764</v>
      </c>
      <c r="B274" s="26">
        <v>5.59632242604E11</v>
      </c>
      <c r="C274" s="26" t="s">
        <v>701</v>
      </c>
      <c r="D274" s="26" t="s">
        <v>870</v>
      </c>
      <c r="E274" s="27" t="s">
        <v>1205</v>
      </c>
      <c r="F274" s="26" t="s">
        <v>151</v>
      </c>
      <c r="G274" s="25" t="s">
        <v>1765</v>
      </c>
      <c r="H274" s="77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2.5" customHeight="1">
      <c r="A275" s="25" t="s">
        <v>1766</v>
      </c>
      <c r="B275" s="26">
        <v>5.522998165398E12</v>
      </c>
      <c r="C275" s="26" t="s">
        <v>149</v>
      </c>
      <c r="D275" s="26" t="s">
        <v>779</v>
      </c>
      <c r="E275" s="27" t="s">
        <v>1767</v>
      </c>
      <c r="F275" s="26" t="s">
        <v>151</v>
      </c>
      <c r="G275" s="25" t="s">
        <v>1768</v>
      </c>
      <c r="H275" s="77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2.5" customHeight="1">
      <c r="A276" s="25" t="s">
        <v>1769</v>
      </c>
      <c r="B276" s="26">
        <v>5.52226455533E11</v>
      </c>
      <c r="C276" s="26" t="s">
        <v>149</v>
      </c>
      <c r="D276" s="26" t="s">
        <v>779</v>
      </c>
      <c r="E276" s="27" t="s">
        <v>1770</v>
      </c>
      <c r="F276" s="26" t="s">
        <v>151</v>
      </c>
      <c r="G276" s="25" t="s">
        <v>1771</v>
      </c>
      <c r="H276" s="77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2.5" customHeight="1">
      <c r="A277" s="25" t="s">
        <v>1772</v>
      </c>
      <c r="B277" s="26">
        <v>5.51333942008E11</v>
      </c>
      <c r="C277" s="26" t="s">
        <v>155</v>
      </c>
      <c r="D277" s="26" t="s">
        <v>798</v>
      </c>
      <c r="E277" s="27" t="s">
        <v>1773</v>
      </c>
      <c r="F277" s="26" t="s">
        <v>1516</v>
      </c>
      <c r="G277" s="25" t="s">
        <v>1774</v>
      </c>
      <c r="H277" s="77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2.5" customHeight="1">
      <c r="A278" s="25" t="s">
        <v>1775</v>
      </c>
      <c r="B278" s="26">
        <v>5.513997733042E12</v>
      </c>
      <c r="C278" s="26" t="s">
        <v>155</v>
      </c>
      <c r="D278" s="26" t="s">
        <v>798</v>
      </c>
      <c r="E278" s="27" t="s">
        <v>274</v>
      </c>
      <c r="F278" s="26" t="s">
        <v>151</v>
      </c>
      <c r="G278" s="25" t="s">
        <v>1776</v>
      </c>
      <c r="H278" s="73" t="s">
        <v>970</v>
      </c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2.5" customHeight="1">
      <c r="A279" s="25" t="s">
        <v>1777</v>
      </c>
      <c r="B279" s="26">
        <v>5.5133041349E11</v>
      </c>
      <c r="C279" s="26" t="s">
        <v>155</v>
      </c>
      <c r="D279" s="26" t="s">
        <v>798</v>
      </c>
      <c r="E279" s="27" t="s">
        <v>1778</v>
      </c>
      <c r="F279" s="26" t="s">
        <v>151</v>
      </c>
      <c r="G279" s="25" t="s">
        <v>1779</v>
      </c>
      <c r="H279" s="77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2.5" customHeight="1">
      <c r="A280" s="25" t="s">
        <v>1780</v>
      </c>
      <c r="B280" s="26">
        <v>5.5133227577E11</v>
      </c>
      <c r="C280" s="26" t="s">
        <v>155</v>
      </c>
      <c r="D280" s="26" t="s">
        <v>798</v>
      </c>
      <c r="E280" s="27" t="s">
        <v>1160</v>
      </c>
      <c r="F280" s="26" t="s">
        <v>151</v>
      </c>
      <c r="G280" s="25" t="s">
        <v>1781</v>
      </c>
      <c r="H280" s="77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2.5" customHeight="1">
      <c r="A281" s="25" t="s">
        <v>1782</v>
      </c>
      <c r="B281" s="26">
        <v>5.51332332929E11</v>
      </c>
      <c r="C281" s="26" t="s">
        <v>155</v>
      </c>
      <c r="D281" s="26" t="s">
        <v>798</v>
      </c>
      <c r="E281" s="27" t="s">
        <v>1187</v>
      </c>
      <c r="F281" s="26" t="s">
        <v>1516</v>
      </c>
      <c r="G281" s="25" t="s">
        <v>1783</v>
      </c>
      <c r="H281" s="77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2.5" customHeight="1">
      <c r="A282" s="28" t="s">
        <v>1784</v>
      </c>
      <c r="B282" s="26">
        <v>5.54130295284E11</v>
      </c>
      <c r="C282" s="26" t="s">
        <v>194</v>
      </c>
      <c r="D282" s="26" t="s">
        <v>195</v>
      </c>
      <c r="E282" s="27" t="s">
        <v>1785</v>
      </c>
      <c r="F282" s="26" t="s">
        <v>151</v>
      </c>
      <c r="G282" s="25" t="s">
        <v>1786</v>
      </c>
      <c r="H282" s="77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2.5" customHeight="1">
      <c r="A283" s="25" t="s">
        <v>1787</v>
      </c>
      <c r="B283" s="26">
        <v>5.5413332559E11</v>
      </c>
      <c r="C283" s="26" t="s">
        <v>194</v>
      </c>
      <c r="D283" s="26" t="s">
        <v>195</v>
      </c>
      <c r="E283" s="27" t="s">
        <v>1788</v>
      </c>
      <c r="F283" s="26" t="s">
        <v>151</v>
      </c>
      <c r="G283" s="25" t="s">
        <v>1789</v>
      </c>
      <c r="H283" s="77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2.5" customHeight="1">
      <c r="A284" s="25" t="s">
        <v>1790</v>
      </c>
      <c r="B284" s="26">
        <v>5.54130244818E11</v>
      </c>
      <c r="C284" s="26" t="s">
        <v>194</v>
      </c>
      <c r="D284" s="26" t="s">
        <v>195</v>
      </c>
      <c r="E284" s="27" t="s">
        <v>1791</v>
      </c>
      <c r="F284" s="26" t="s">
        <v>151</v>
      </c>
      <c r="G284" s="25" t="s">
        <v>1792</v>
      </c>
      <c r="H284" s="77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2.5" customHeight="1">
      <c r="A285" s="25" t="s">
        <v>1793</v>
      </c>
      <c r="B285" s="26">
        <v>5.54130920528E11</v>
      </c>
      <c r="C285" s="26" t="s">
        <v>194</v>
      </c>
      <c r="D285" s="26" t="s">
        <v>195</v>
      </c>
      <c r="E285" s="27" t="s">
        <v>1366</v>
      </c>
      <c r="F285" s="26" t="s">
        <v>151</v>
      </c>
      <c r="G285" s="25" t="s">
        <v>1794</v>
      </c>
      <c r="H285" s="77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2.5" customHeight="1">
      <c r="A286" s="45" t="s">
        <v>1795</v>
      </c>
      <c r="B286" s="26">
        <v>5.541984096487E12</v>
      </c>
      <c r="C286" s="26" t="s">
        <v>194</v>
      </c>
      <c r="D286" s="26" t="s">
        <v>195</v>
      </c>
      <c r="E286" s="27" t="s">
        <v>1796</v>
      </c>
      <c r="F286" s="26" t="s">
        <v>151</v>
      </c>
      <c r="G286" s="25" t="s">
        <v>1797</v>
      </c>
      <c r="H286" s="77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2.5" customHeight="1">
      <c r="A287" s="28" t="s">
        <v>1798</v>
      </c>
      <c r="B287" s="26">
        <v>5.541998680276E12</v>
      </c>
      <c r="C287" s="26" t="s">
        <v>194</v>
      </c>
      <c r="D287" s="26" t="s">
        <v>195</v>
      </c>
      <c r="E287" s="27" t="s">
        <v>1799</v>
      </c>
      <c r="F287" s="26" t="s">
        <v>151</v>
      </c>
      <c r="G287" s="25" t="s">
        <v>1800</v>
      </c>
      <c r="H287" s="77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2.5" customHeight="1">
      <c r="A288" s="25" t="s">
        <v>1801</v>
      </c>
      <c r="B288" s="26">
        <v>5.5413275818E11</v>
      </c>
      <c r="C288" s="26" t="s">
        <v>194</v>
      </c>
      <c r="D288" s="26" t="s">
        <v>195</v>
      </c>
      <c r="E288" s="27" t="s">
        <v>1802</v>
      </c>
      <c r="F288" s="26" t="s">
        <v>151</v>
      </c>
      <c r="G288" s="25" t="s">
        <v>1803</v>
      </c>
      <c r="H288" s="77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2.5" customHeight="1">
      <c r="A289" s="25" t="s">
        <v>1804</v>
      </c>
      <c r="B289" s="26">
        <v>5.54133620206E11</v>
      </c>
      <c r="C289" s="26" t="s">
        <v>194</v>
      </c>
      <c r="D289" s="26" t="s">
        <v>195</v>
      </c>
      <c r="E289" s="27" t="s">
        <v>1805</v>
      </c>
      <c r="F289" s="26" t="s">
        <v>151</v>
      </c>
      <c r="G289" s="25" t="s">
        <v>1806</v>
      </c>
      <c r="H289" s="77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2.5" customHeight="1">
      <c r="A290" s="28" t="s">
        <v>1807</v>
      </c>
      <c r="B290" s="26">
        <v>5.54132575409E11</v>
      </c>
      <c r="C290" s="26" t="s">
        <v>194</v>
      </c>
      <c r="D290" s="26" t="s">
        <v>195</v>
      </c>
      <c r="E290" s="27" t="s">
        <v>1808</v>
      </c>
      <c r="F290" s="26" t="s">
        <v>151</v>
      </c>
      <c r="G290" s="25" t="s">
        <v>1809</v>
      </c>
      <c r="H290" s="77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2.5" customHeight="1">
      <c r="A291" s="25" t="s">
        <v>1810</v>
      </c>
      <c r="B291" s="26">
        <v>5.541992215551E12</v>
      </c>
      <c r="C291" s="26" t="s">
        <v>194</v>
      </c>
      <c r="D291" s="26" t="s">
        <v>195</v>
      </c>
      <c r="E291" s="27" t="s">
        <v>1431</v>
      </c>
      <c r="F291" s="26" t="s">
        <v>151</v>
      </c>
      <c r="G291" s="25" t="s">
        <v>1811</v>
      </c>
      <c r="H291" s="77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2.5" customHeight="1">
      <c r="A292" s="25" t="s">
        <v>1812</v>
      </c>
      <c r="B292" s="26">
        <v>5.54133367043E11</v>
      </c>
      <c r="C292" s="26" t="s">
        <v>194</v>
      </c>
      <c r="D292" s="26" t="s">
        <v>195</v>
      </c>
      <c r="E292" s="27" t="s">
        <v>1813</v>
      </c>
      <c r="F292" s="26" t="s">
        <v>151</v>
      </c>
      <c r="G292" s="25" t="s">
        <v>1814</v>
      </c>
      <c r="H292" s="77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2.5" customHeight="1">
      <c r="A293" s="25" t="s">
        <v>1815</v>
      </c>
      <c r="B293" s="26">
        <v>5.54135284686E11</v>
      </c>
      <c r="C293" s="26" t="s">
        <v>194</v>
      </c>
      <c r="D293" s="26" t="s">
        <v>195</v>
      </c>
      <c r="E293" s="27" t="s">
        <v>1816</v>
      </c>
      <c r="F293" s="26" t="s">
        <v>151</v>
      </c>
      <c r="G293" s="25" t="s">
        <v>1817</v>
      </c>
      <c r="H293" s="77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2.5" customHeight="1">
      <c r="A294" s="28" t="s">
        <v>1818</v>
      </c>
      <c r="B294" s="26">
        <v>5.54131521882E11</v>
      </c>
      <c r="C294" s="26" t="s">
        <v>194</v>
      </c>
      <c r="D294" s="26" t="s">
        <v>195</v>
      </c>
      <c r="E294" s="27" t="s">
        <v>1819</v>
      </c>
      <c r="F294" s="26" t="s">
        <v>151</v>
      </c>
      <c r="G294" s="25" t="s">
        <v>1820</v>
      </c>
      <c r="H294" s="77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2.5" customHeight="1">
      <c r="A295" s="28" t="s">
        <v>1821</v>
      </c>
      <c r="B295" s="26">
        <v>5.54130951098E11</v>
      </c>
      <c r="C295" s="26" t="s">
        <v>194</v>
      </c>
      <c r="D295" s="26" t="s">
        <v>195</v>
      </c>
      <c r="E295" s="27" t="s">
        <v>1822</v>
      </c>
      <c r="F295" s="26" t="s">
        <v>151</v>
      </c>
      <c r="G295" s="25" t="s">
        <v>1823</v>
      </c>
      <c r="H295" s="77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2.5" customHeight="1">
      <c r="A296" s="25" t="s">
        <v>1106</v>
      </c>
      <c r="B296" s="26">
        <v>5.57134610666E11</v>
      </c>
      <c r="C296" s="26" t="s">
        <v>180</v>
      </c>
      <c r="D296" s="26" t="s">
        <v>461</v>
      </c>
      <c r="E296" s="27" t="s">
        <v>1824</v>
      </c>
      <c r="F296" s="26" t="s">
        <v>151</v>
      </c>
      <c r="G296" s="25" t="s">
        <v>1109</v>
      </c>
      <c r="H296" s="77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2.5" customHeight="1">
      <c r="A297" s="25" t="s">
        <v>1019</v>
      </c>
      <c r="B297" s="26">
        <v>5.57132400032E11</v>
      </c>
      <c r="C297" s="26" t="s">
        <v>180</v>
      </c>
      <c r="D297" s="26" t="s">
        <v>461</v>
      </c>
      <c r="E297" s="27" t="s">
        <v>115</v>
      </c>
      <c r="F297" s="26" t="s">
        <v>151</v>
      </c>
      <c r="G297" s="25" t="s">
        <v>1023</v>
      </c>
      <c r="H297" s="73" t="s">
        <v>1825</v>
      </c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2.5" customHeight="1">
      <c r="A298" s="25" t="s">
        <v>1089</v>
      </c>
      <c r="B298" s="26">
        <v>5.571999084455E12</v>
      </c>
      <c r="C298" s="26" t="s">
        <v>180</v>
      </c>
      <c r="D298" s="26" t="s">
        <v>461</v>
      </c>
      <c r="E298" s="27" t="s">
        <v>1544</v>
      </c>
      <c r="F298" s="26" t="s">
        <v>151</v>
      </c>
      <c r="G298" s="25" t="s">
        <v>1092</v>
      </c>
      <c r="H298" s="77"/>
    </row>
    <row r="299" ht="22.5" customHeight="1">
      <c r="A299" s="25" t="s">
        <v>1826</v>
      </c>
      <c r="B299" s="26">
        <v>5.57130111926E11</v>
      </c>
      <c r="C299" s="26" t="s">
        <v>180</v>
      </c>
      <c r="D299" s="26" t="s">
        <v>461</v>
      </c>
      <c r="E299" s="27" t="s">
        <v>1827</v>
      </c>
      <c r="F299" s="26" t="s">
        <v>151</v>
      </c>
      <c r="G299" s="25" t="s">
        <v>1828</v>
      </c>
      <c r="H299" s="77"/>
    </row>
    <row r="300" ht="22.5" customHeight="1">
      <c r="A300" s="78" t="s">
        <v>1829</v>
      </c>
      <c r="B300" s="26">
        <v>5.56133724033E11</v>
      </c>
      <c r="C300" s="26" t="s">
        <v>963</v>
      </c>
      <c r="D300" s="26" t="s">
        <v>837</v>
      </c>
      <c r="E300" s="27" t="s">
        <v>1830</v>
      </c>
      <c r="F300" s="26" t="s">
        <v>151</v>
      </c>
      <c r="G300" s="25" t="s">
        <v>1831</v>
      </c>
      <c r="H300" s="77"/>
    </row>
    <row r="301" ht="22.5" customHeight="1">
      <c r="A301" s="25" t="s">
        <v>1832</v>
      </c>
      <c r="B301" s="26">
        <v>5.56135364846E11</v>
      </c>
      <c r="C301" s="26" t="s">
        <v>963</v>
      </c>
      <c r="D301" s="26" t="s">
        <v>837</v>
      </c>
      <c r="E301" s="27" t="s">
        <v>1833</v>
      </c>
      <c r="F301" s="26" t="s">
        <v>1597</v>
      </c>
      <c r="G301" s="25" t="s">
        <v>1834</v>
      </c>
      <c r="H301" s="77"/>
    </row>
    <row r="302" ht="22.5" customHeight="1">
      <c r="A302" s="25" t="s">
        <v>1835</v>
      </c>
      <c r="B302" s="26">
        <v>5.56132451907E11</v>
      </c>
      <c r="C302" s="26" t="s">
        <v>963</v>
      </c>
      <c r="D302" s="26" t="s">
        <v>837</v>
      </c>
      <c r="E302" s="27" t="s">
        <v>1371</v>
      </c>
      <c r="F302" s="26" t="s">
        <v>151</v>
      </c>
      <c r="G302" s="25" t="s">
        <v>1836</v>
      </c>
      <c r="H302" s="77"/>
    </row>
    <row r="303" ht="22.5" customHeight="1">
      <c r="A303" s="25" t="s">
        <v>1837</v>
      </c>
      <c r="B303" s="26">
        <v>5.5613546467E11</v>
      </c>
      <c r="C303" s="26" t="s">
        <v>963</v>
      </c>
      <c r="D303" s="26" t="s">
        <v>837</v>
      </c>
      <c r="E303" s="27" t="s">
        <v>1431</v>
      </c>
      <c r="F303" s="26" t="s">
        <v>151</v>
      </c>
      <c r="G303" s="25" t="s">
        <v>1838</v>
      </c>
      <c r="H303" s="77"/>
    </row>
    <row r="304" ht="22.5" customHeight="1">
      <c r="A304" s="28" t="s">
        <v>1839</v>
      </c>
      <c r="B304" s="26">
        <v>5.5613351808E11</v>
      </c>
      <c r="C304" s="26" t="s">
        <v>963</v>
      </c>
      <c r="D304" s="26" t="s">
        <v>837</v>
      </c>
      <c r="E304" s="27" t="s">
        <v>1840</v>
      </c>
      <c r="F304" s="26" t="s">
        <v>182</v>
      </c>
      <c r="G304" s="25" t="s">
        <v>1841</v>
      </c>
      <c r="H304" s="77"/>
    </row>
    <row r="305" ht="22.5" customHeight="1">
      <c r="A305" s="25" t="s">
        <v>1842</v>
      </c>
      <c r="B305" s="26">
        <v>5.56138771267E11</v>
      </c>
      <c r="C305" s="26" t="s">
        <v>963</v>
      </c>
      <c r="D305" s="26" t="s">
        <v>837</v>
      </c>
      <c r="E305" s="27" t="s">
        <v>1843</v>
      </c>
      <c r="F305" s="26" t="s">
        <v>151</v>
      </c>
      <c r="G305" s="25" t="s">
        <v>1844</v>
      </c>
      <c r="H305" s="77"/>
    </row>
    <row r="306" ht="22.5" customHeight="1">
      <c r="A306" s="25" t="s">
        <v>1845</v>
      </c>
      <c r="B306" s="26">
        <v>5.56132268431E11</v>
      </c>
      <c r="C306" s="26" t="s">
        <v>963</v>
      </c>
      <c r="D306" s="26" t="s">
        <v>837</v>
      </c>
      <c r="E306" s="27" t="s">
        <v>1187</v>
      </c>
      <c r="F306" s="26" t="s">
        <v>1846</v>
      </c>
      <c r="G306" s="25" t="s">
        <v>1847</v>
      </c>
      <c r="H306" s="77"/>
    </row>
    <row r="307" ht="22.5" customHeight="1">
      <c r="A307" s="28" t="s">
        <v>1848</v>
      </c>
      <c r="B307" s="26">
        <v>5.56130125443E11</v>
      </c>
      <c r="C307" s="26" t="s">
        <v>963</v>
      </c>
      <c r="D307" s="26" t="s">
        <v>837</v>
      </c>
      <c r="E307" s="27" t="s">
        <v>1214</v>
      </c>
      <c r="F307" s="26" t="s">
        <v>151</v>
      </c>
      <c r="G307" s="25" t="s">
        <v>1849</v>
      </c>
      <c r="H307" s="77"/>
    </row>
    <row r="308" ht="22.5" customHeight="1">
      <c r="A308" s="25" t="s">
        <v>1850</v>
      </c>
      <c r="B308" s="26">
        <v>5.561998590777E12</v>
      </c>
      <c r="C308" s="26" t="s">
        <v>963</v>
      </c>
      <c r="D308" s="26" t="s">
        <v>837</v>
      </c>
      <c r="E308" s="27" t="s">
        <v>1479</v>
      </c>
      <c r="F308" s="26" t="s">
        <v>151</v>
      </c>
      <c r="G308" s="25" t="s">
        <v>1851</v>
      </c>
      <c r="H308" s="77"/>
    </row>
    <row r="309" ht="22.5" customHeight="1">
      <c r="A309" s="25" t="s">
        <v>1852</v>
      </c>
      <c r="B309" s="26">
        <v>5.56133075157E11</v>
      </c>
      <c r="C309" s="26" t="s">
        <v>963</v>
      </c>
      <c r="D309" s="26" t="s">
        <v>837</v>
      </c>
      <c r="E309" s="27" t="s">
        <v>1853</v>
      </c>
      <c r="F309" s="26" t="s">
        <v>151</v>
      </c>
      <c r="G309" s="25" t="s">
        <v>1854</v>
      </c>
      <c r="H309" s="77"/>
    </row>
    <row r="310" ht="22.5" customHeight="1">
      <c r="A310" s="25" t="s">
        <v>1855</v>
      </c>
      <c r="B310" s="26">
        <v>5.58433024245E11</v>
      </c>
      <c r="C310" s="26" t="s">
        <v>544</v>
      </c>
      <c r="D310" s="26" t="s">
        <v>617</v>
      </c>
      <c r="E310" s="27" t="s">
        <v>1437</v>
      </c>
      <c r="F310" s="26" t="s">
        <v>151</v>
      </c>
      <c r="G310" s="25" t="s">
        <v>1856</v>
      </c>
      <c r="H310" s="77"/>
    </row>
    <row r="311" ht="22.5" customHeight="1">
      <c r="A311" s="25" t="s">
        <v>1857</v>
      </c>
      <c r="B311" s="26">
        <v>5.58432131117E11</v>
      </c>
      <c r="C311" s="26" t="s">
        <v>544</v>
      </c>
      <c r="D311" s="26" t="s">
        <v>1068</v>
      </c>
      <c r="E311" s="27" t="s">
        <v>1824</v>
      </c>
      <c r="F311" s="26" t="s">
        <v>151</v>
      </c>
      <c r="G311" s="25" t="s">
        <v>1858</v>
      </c>
      <c r="H311" s="77"/>
    </row>
    <row r="312" ht="22.5" customHeight="1">
      <c r="A312" s="28" t="s">
        <v>1859</v>
      </c>
      <c r="B312" s="26">
        <v>5.58430622218E11</v>
      </c>
      <c r="C312" s="26" t="s">
        <v>544</v>
      </c>
      <c r="D312" s="26" t="s">
        <v>1860</v>
      </c>
      <c r="E312" s="27" t="s">
        <v>1087</v>
      </c>
      <c r="F312" s="26" t="s">
        <v>151</v>
      </c>
      <c r="G312" s="25" t="s">
        <v>1861</v>
      </c>
      <c r="H312" s="77"/>
    </row>
    <row r="313" ht="22.5" customHeight="1">
      <c r="A313" s="25" t="s">
        <v>1862</v>
      </c>
      <c r="B313" s="26">
        <v>5.58436060076E11</v>
      </c>
      <c r="C313" s="26" t="s">
        <v>544</v>
      </c>
      <c r="D313" s="26" t="s">
        <v>1068</v>
      </c>
      <c r="E313" s="27" t="s">
        <v>1502</v>
      </c>
      <c r="F313" s="26" t="s">
        <v>151</v>
      </c>
      <c r="G313" s="25" t="s">
        <v>1863</v>
      </c>
      <c r="H313" s="77"/>
    </row>
    <row r="314" ht="22.5" customHeight="1">
      <c r="A314" s="25" t="s">
        <v>1864</v>
      </c>
      <c r="B314" s="26">
        <v>5.584981440335E12</v>
      </c>
      <c r="C314" s="26" t="s">
        <v>544</v>
      </c>
      <c r="D314" s="26" t="s">
        <v>1860</v>
      </c>
      <c r="E314" s="27" t="s">
        <v>1865</v>
      </c>
      <c r="F314" s="26" t="s">
        <v>151</v>
      </c>
      <c r="G314" s="25" t="s">
        <v>1866</v>
      </c>
      <c r="H314" s="77"/>
    </row>
    <row r="315" ht="22.5" customHeight="1">
      <c r="A315" s="25" t="s">
        <v>1867</v>
      </c>
      <c r="B315" s="26">
        <v>5.583993416234E12</v>
      </c>
      <c r="C315" s="26" t="s">
        <v>200</v>
      </c>
      <c r="D315" s="26" t="s">
        <v>201</v>
      </c>
      <c r="E315" s="27" t="s">
        <v>62</v>
      </c>
      <c r="F315" s="26" t="s">
        <v>151</v>
      </c>
      <c r="G315" s="25" t="s">
        <v>1868</v>
      </c>
      <c r="H315" s="26" t="s">
        <v>970</v>
      </c>
    </row>
    <row r="316" ht="22.5" customHeight="1">
      <c r="A316" s="25" t="s">
        <v>1869</v>
      </c>
      <c r="B316" s="26">
        <v>5.5833224119E11</v>
      </c>
      <c r="C316" s="26" t="s">
        <v>200</v>
      </c>
      <c r="D316" s="26" t="s">
        <v>201</v>
      </c>
      <c r="E316" s="27" t="s">
        <v>1257</v>
      </c>
      <c r="F316" s="26" t="s">
        <v>151</v>
      </c>
      <c r="G316" s="25" t="s">
        <v>1870</v>
      </c>
      <c r="H316" s="77"/>
    </row>
    <row r="317" ht="22.5" customHeight="1">
      <c r="A317" s="25" t="s">
        <v>1237</v>
      </c>
      <c r="B317" s="26">
        <v>5.58333369925E11</v>
      </c>
      <c r="C317" s="26" t="s">
        <v>200</v>
      </c>
      <c r="D317" s="26" t="s">
        <v>1238</v>
      </c>
      <c r="E317" s="27" t="s">
        <v>1199</v>
      </c>
      <c r="F317" s="26" t="s">
        <v>151</v>
      </c>
      <c r="G317" s="25" t="s">
        <v>1240</v>
      </c>
      <c r="H317" s="77"/>
    </row>
    <row r="318" ht="22.5" customHeight="1">
      <c r="A318" s="28" t="s">
        <v>1871</v>
      </c>
      <c r="B318" s="26">
        <v>5.58321578238E11</v>
      </c>
      <c r="C318" s="26" t="s">
        <v>200</v>
      </c>
      <c r="D318" s="26" t="s">
        <v>1238</v>
      </c>
      <c r="E318" s="27" t="s">
        <v>1872</v>
      </c>
      <c r="F318" s="26" t="s">
        <v>151</v>
      </c>
      <c r="G318" s="25" t="s">
        <v>1873</v>
      </c>
      <c r="H318" s="26" t="s">
        <v>970</v>
      </c>
    </row>
    <row r="319" ht="22.5" customHeight="1">
      <c r="A319" s="25" t="s">
        <v>1874</v>
      </c>
      <c r="B319" s="26">
        <v>5.56232514924E11</v>
      </c>
      <c r="C319" s="26" t="s">
        <v>230</v>
      </c>
      <c r="D319" s="26" t="s">
        <v>923</v>
      </c>
      <c r="E319" s="27" t="s">
        <v>1875</v>
      </c>
      <c r="F319" s="26" t="s">
        <v>151</v>
      </c>
      <c r="G319" s="25" t="s">
        <v>1876</v>
      </c>
      <c r="H319" s="29"/>
    </row>
    <row r="320" ht="22.5" customHeight="1">
      <c r="A320" s="25" t="s">
        <v>1877</v>
      </c>
      <c r="B320" s="26">
        <v>5.56230914065E11</v>
      </c>
      <c r="C320" s="26" t="s">
        <v>230</v>
      </c>
      <c r="D320" s="26" t="s">
        <v>923</v>
      </c>
      <c r="E320" s="27" t="s">
        <v>1401</v>
      </c>
      <c r="F320" s="26" t="s">
        <v>151</v>
      </c>
      <c r="G320" s="25" t="s">
        <v>1878</v>
      </c>
      <c r="H320" s="29"/>
    </row>
    <row r="321" ht="22.5" customHeight="1">
      <c r="A321" s="28" t="s">
        <v>1169</v>
      </c>
      <c r="B321" s="26">
        <v>5.56230930021E11</v>
      </c>
      <c r="C321" s="26" t="s">
        <v>230</v>
      </c>
      <c r="D321" s="26" t="s">
        <v>923</v>
      </c>
      <c r="E321" s="27" t="s">
        <v>1575</v>
      </c>
      <c r="F321" s="26" t="s">
        <v>151</v>
      </c>
      <c r="G321" s="25" t="s">
        <v>1879</v>
      </c>
      <c r="H321" s="29"/>
    </row>
    <row r="322" ht="22.5" customHeight="1">
      <c r="A322" s="28" t="s">
        <v>1880</v>
      </c>
      <c r="B322" s="26">
        <v>5.56232510276E11</v>
      </c>
      <c r="C322" s="26" t="s">
        <v>230</v>
      </c>
      <c r="D322" s="26" t="s">
        <v>923</v>
      </c>
      <c r="E322" s="27" t="s">
        <v>367</v>
      </c>
      <c r="F322" s="26" t="s">
        <v>151</v>
      </c>
      <c r="G322" s="25" t="s">
        <v>1881</v>
      </c>
      <c r="H322" s="26" t="s">
        <v>970</v>
      </c>
    </row>
    <row r="323" ht="22.5" customHeight="1">
      <c r="A323" s="25" t="s">
        <v>1882</v>
      </c>
      <c r="B323" s="26">
        <v>5.56232241333E11</v>
      </c>
      <c r="C323" s="26" t="s">
        <v>230</v>
      </c>
      <c r="D323" s="26" t="s">
        <v>923</v>
      </c>
      <c r="E323" s="27" t="s">
        <v>367</v>
      </c>
      <c r="F323" s="26" t="s">
        <v>151</v>
      </c>
      <c r="G323" s="25" t="s">
        <v>1883</v>
      </c>
      <c r="H323" s="26" t="s">
        <v>970</v>
      </c>
    </row>
    <row r="324" ht="22.5" customHeight="1">
      <c r="A324" s="28" t="s">
        <v>1884</v>
      </c>
      <c r="B324" s="26">
        <v>5.56232117467E11</v>
      </c>
      <c r="C324" s="26" t="s">
        <v>230</v>
      </c>
      <c r="D324" s="26" t="s">
        <v>923</v>
      </c>
      <c r="E324" s="27" t="s">
        <v>1187</v>
      </c>
      <c r="F324" s="26" t="s">
        <v>151</v>
      </c>
      <c r="G324" s="25" t="s">
        <v>1885</v>
      </c>
      <c r="H324" s="29"/>
    </row>
    <row r="325" ht="22.5" customHeight="1">
      <c r="A325" s="78" t="s">
        <v>1886</v>
      </c>
      <c r="B325" s="26">
        <v>5.52732422504E11</v>
      </c>
      <c r="C325" s="26" t="s">
        <v>212</v>
      </c>
      <c r="D325" s="26" t="s">
        <v>929</v>
      </c>
      <c r="E325" s="27" t="s">
        <v>1335</v>
      </c>
      <c r="F325" s="26" t="s">
        <v>151</v>
      </c>
      <c r="G325" s="25" t="s">
        <v>1887</v>
      </c>
      <c r="H325" s="29"/>
    </row>
    <row r="326" ht="22.5" customHeight="1">
      <c r="A326" s="25" t="s">
        <v>1888</v>
      </c>
      <c r="B326" s="26">
        <v>5.527995268853E12</v>
      </c>
      <c r="C326" s="26" t="s">
        <v>212</v>
      </c>
      <c r="D326" s="31" t="s">
        <v>1163</v>
      </c>
      <c r="E326" s="27" t="s">
        <v>1889</v>
      </c>
      <c r="F326" s="26" t="s">
        <v>151</v>
      </c>
      <c r="G326" s="25" t="s">
        <v>1890</v>
      </c>
      <c r="H326" s="29"/>
    </row>
    <row r="327" ht="22.5" customHeight="1">
      <c r="A327" s="55" t="s">
        <v>1891</v>
      </c>
      <c r="B327" s="54">
        <v>5.527992589047E12</v>
      </c>
      <c r="C327" s="54" t="s">
        <v>212</v>
      </c>
      <c r="D327" s="79" t="s">
        <v>1163</v>
      </c>
      <c r="E327" s="27" t="s">
        <v>1892</v>
      </c>
      <c r="F327" s="26" t="s">
        <v>151</v>
      </c>
      <c r="G327" s="25" t="s">
        <v>1893</v>
      </c>
      <c r="H327" s="29"/>
    </row>
    <row r="328" ht="22.5" customHeight="1">
      <c r="A328" s="55" t="s">
        <v>1894</v>
      </c>
      <c r="B328" s="54">
        <v>5.52733378166E11</v>
      </c>
      <c r="C328" s="54" t="s">
        <v>212</v>
      </c>
      <c r="D328" s="54" t="s">
        <v>1163</v>
      </c>
      <c r="E328" s="27" t="s">
        <v>1187</v>
      </c>
      <c r="F328" s="26" t="s">
        <v>151</v>
      </c>
      <c r="G328" s="25" t="s">
        <v>1895</v>
      </c>
      <c r="H328" s="29"/>
    </row>
    <row r="329" ht="22.5" customHeight="1">
      <c r="A329" s="55" t="s">
        <v>1896</v>
      </c>
      <c r="B329" s="54">
        <v>5.52733368751E11</v>
      </c>
      <c r="C329" s="54" t="s">
        <v>212</v>
      </c>
      <c r="D329" s="54" t="s">
        <v>1897</v>
      </c>
      <c r="E329" s="27" t="s">
        <v>1521</v>
      </c>
      <c r="F329" s="26" t="s">
        <v>196</v>
      </c>
      <c r="G329" s="25" t="s">
        <v>1898</v>
      </c>
      <c r="H329" s="29"/>
    </row>
    <row r="330" ht="22.5" customHeight="1">
      <c r="A330" s="55" t="s">
        <v>1899</v>
      </c>
      <c r="B330" s="54">
        <v>5.52732093233E11</v>
      </c>
      <c r="C330" s="54" t="s">
        <v>212</v>
      </c>
      <c r="D330" s="54" t="s">
        <v>1900</v>
      </c>
      <c r="E330" s="27" t="s">
        <v>1309</v>
      </c>
      <c r="F330" s="26" t="s">
        <v>151</v>
      </c>
      <c r="G330" s="25" t="s">
        <v>1901</v>
      </c>
      <c r="H330" s="29"/>
    </row>
    <row r="331" ht="22.5" customHeight="1">
      <c r="A331" s="55" t="s">
        <v>1902</v>
      </c>
      <c r="B331" s="54">
        <v>5.52799738207E12</v>
      </c>
      <c r="C331" s="54" t="s">
        <v>212</v>
      </c>
      <c r="D331" s="54" t="s">
        <v>1903</v>
      </c>
      <c r="E331" s="27" t="s">
        <v>1904</v>
      </c>
      <c r="F331" s="26" t="s">
        <v>151</v>
      </c>
      <c r="G331" s="25" t="s">
        <v>1905</v>
      </c>
      <c r="H331" s="29"/>
    </row>
    <row r="332" ht="22.5" customHeight="1">
      <c r="A332" s="55" t="s">
        <v>1906</v>
      </c>
      <c r="B332" s="54">
        <v>5.57932348448E11</v>
      </c>
      <c r="C332" s="54" t="s">
        <v>242</v>
      </c>
      <c r="D332" s="54" t="s">
        <v>243</v>
      </c>
      <c r="E332" s="27" t="s">
        <v>1907</v>
      </c>
      <c r="F332" s="26" t="s">
        <v>1908</v>
      </c>
      <c r="G332" s="25" t="s">
        <v>1909</v>
      </c>
      <c r="H332" s="29"/>
    </row>
    <row r="333" ht="22.5" customHeight="1">
      <c r="A333" s="55" t="s">
        <v>1910</v>
      </c>
      <c r="B333" s="54">
        <v>5.579999717772E12</v>
      </c>
      <c r="C333" s="54" t="s">
        <v>242</v>
      </c>
      <c r="D333" s="54" t="s">
        <v>1911</v>
      </c>
      <c r="E333" s="27" t="s">
        <v>1326</v>
      </c>
      <c r="F333" s="26" t="s">
        <v>151</v>
      </c>
      <c r="G333" s="25" t="s">
        <v>1912</v>
      </c>
      <c r="H333" s="29"/>
    </row>
    <row r="334" ht="22.5" customHeight="1">
      <c r="A334" s="80" t="s">
        <v>1913</v>
      </c>
      <c r="B334" s="54">
        <v>5.598987227617E12</v>
      </c>
      <c r="C334" s="54" t="s">
        <v>319</v>
      </c>
      <c r="D334" s="54" t="s">
        <v>320</v>
      </c>
      <c r="E334" s="27" t="s">
        <v>110</v>
      </c>
      <c r="F334" s="26" t="s">
        <v>151</v>
      </c>
      <c r="G334" s="25" t="s">
        <v>1914</v>
      </c>
      <c r="H334" s="26" t="s">
        <v>970</v>
      </c>
    </row>
    <row r="335" ht="22.5" customHeight="1">
      <c r="A335" s="80" t="s">
        <v>1915</v>
      </c>
      <c r="B335" s="54">
        <v>5.598983401428E12</v>
      </c>
      <c r="C335" s="54" t="s">
        <v>319</v>
      </c>
      <c r="D335" s="54" t="s">
        <v>320</v>
      </c>
      <c r="E335" s="27" t="s">
        <v>1275</v>
      </c>
      <c r="F335" s="26" t="s">
        <v>151</v>
      </c>
      <c r="G335" s="25" t="s">
        <v>1916</v>
      </c>
      <c r="H335" s="29"/>
    </row>
    <row r="336" ht="22.5" customHeight="1">
      <c r="A336" s="80" t="s">
        <v>1917</v>
      </c>
      <c r="B336" s="54">
        <v>5.599981716143E12</v>
      </c>
      <c r="C336" s="54" t="s">
        <v>319</v>
      </c>
      <c r="D336" s="54" t="s">
        <v>1918</v>
      </c>
      <c r="E336" s="27" t="s">
        <v>274</v>
      </c>
      <c r="F336" s="26" t="s">
        <v>151</v>
      </c>
      <c r="G336" s="25" t="s">
        <v>1919</v>
      </c>
      <c r="H336" s="26" t="s">
        <v>970</v>
      </c>
    </row>
    <row r="337" ht="22.5" customHeight="1">
      <c r="A337" s="80" t="s">
        <v>1920</v>
      </c>
      <c r="B337" s="54">
        <v>5.59832261718E11</v>
      </c>
      <c r="C337" s="54" t="s">
        <v>319</v>
      </c>
      <c r="D337" s="54" t="s">
        <v>320</v>
      </c>
      <c r="E337" s="27" t="s">
        <v>110</v>
      </c>
      <c r="F337" s="26" t="s">
        <v>151</v>
      </c>
      <c r="G337" s="25" t="s">
        <v>1921</v>
      </c>
      <c r="H337" s="29"/>
    </row>
    <row r="338" ht="22.5" customHeight="1">
      <c r="A338" s="80" t="s">
        <v>1922</v>
      </c>
      <c r="B338" s="54">
        <v>5.59998149937E12</v>
      </c>
      <c r="C338" s="54" t="s">
        <v>319</v>
      </c>
      <c r="D338" s="54" t="s">
        <v>1918</v>
      </c>
      <c r="E338" s="27" t="s">
        <v>1923</v>
      </c>
      <c r="F338" s="26" t="s">
        <v>151</v>
      </c>
      <c r="G338" s="25" t="s">
        <v>1924</v>
      </c>
      <c r="H338" s="29"/>
    </row>
    <row r="339" ht="22.5" customHeight="1">
      <c r="A339" s="55" t="s">
        <v>1925</v>
      </c>
      <c r="B339" s="54">
        <v>5.59298153508E12</v>
      </c>
      <c r="C339" s="54" t="s">
        <v>1265</v>
      </c>
      <c r="D339" s="54" t="s">
        <v>1266</v>
      </c>
      <c r="E339" s="27" t="s">
        <v>1926</v>
      </c>
      <c r="F339" s="26" t="s">
        <v>151</v>
      </c>
      <c r="G339" s="25" t="s">
        <v>1927</v>
      </c>
      <c r="H339" s="29"/>
    </row>
    <row r="340" ht="22.5" customHeight="1">
      <c r="A340" s="55" t="s">
        <v>1928</v>
      </c>
      <c r="B340" s="54">
        <v>5.59236461314E11</v>
      </c>
      <c r="C340" s="54" t="s">
        <v>1265</v>
      </c>
      <c r="D340" s="54" t="s">
        <v>1266</v>
      </c>
      <c r="E340" s="27" t="s">
        <v>1929</v>
      </c>
      <c r="F340" s="26" t="s">
        <v>196</v>
      </c>
      <c r="G340" s="25" t="s">
        <v>1930</v>
      </c>
      <c r="H340" s="29"/>
    </row>
    <row r="341" ht="22.5" customHeight="1">
      <c r="A341" s="55" t="s">
        <v>1931</v>
      </c>
      <c r="B341" s="54">
        <v>5.56732018009E11</v>
      </c>
      <c r="C341" s="54" t="s">
        <v>395</v>
      </c>
      <c r="D341" s="54" t="s">
        <v>409</v>
      </c>
      <c r="E341" s="27" t="s">
        <v>1932</v>
      </c>
      <c r="F341" s="26" t="s">
        <v>151</v>
      </c>
      <c r="G341" s="25" t="s">
        <v>1933</v>
      </c>
      <c r="H341" s="29"/>
    </row>
    <row r="342" ht="22.5" customHeight="1">
      <c r="A342" s="55" t="s">
        <v>1934</v>
      </c>
      <c r="B342" s="54">
        <v>5.567992525281E12</v>
      </c>
      <c r="C342" s="54" t="s">
        <v>395</v>
      </c>
      <c r="D342" s="54" t="s">
        <v>409</v>
      </c>
      <c r="E342" s="27" t="s">
        <v>1935</v>
      </c>
      <c r="F342" s="26" t="s">
        <v>151</v>
      </c>
      <c r="G342" s="25" t="s">
        <v>1936</v>
      </c>
      <c r="H342" s="29"/>
    </row>
    <row r="343" ht="22.5" customHeight="1">
      <c r="A343" s="55" t="s">
        <v>1937</v>
      </c>
      <c r="B343" s="54">
        <v>5.56733840785E11</v>
      </c>
      <c r="C343" s="54" t="s">
        <v>395</v>
      </c>
      <c r="D343" s="54" t="s">
        <v>409</v>
      </c>
      <c r="E343" s="27" t="s">
        <v>1938</v>
      </c>
      <c r="F343" s="26" t="s">
        <v>151</v>
      </c>
      <c r="G343" s="25" t="s">
        <v>1939</v>
      </c>
      <c r="H343" s="29"/>
    </row>
    <row r="344" ht="22.5" customHeight="1">
      <c r="A344" s="81" t="s">
        <v>1940</v>
      </c>
      <c r="B344" s="54">
        <v>5.56733265544E11</v>
      </c>
      <c r="C344" s="54" t="s">
        <v>395</v>
      </c>
      <c r="D344" s="54" t="s">
        <v>409</v>
      </c>
      <c r="E344" s="27" t="s">
        <v>1214</v>
      </c>
      <c r="F344" s="26" t="s">
        <v>151</v>
      </c>
      <c r="G344" s="25" t="s">
        <v>1941</v>
      </c>
      <c r="H344" s="29"/>
    </row>
    <row r="345" ht="22.5" customHeight="1">
      <c r="A345" s="81" t="s">
        <v>1942</v>
      </c>
      <c r="B345" s="54">
        <v>5.56733826352E11</v>
      </c>
      <c r="C345" s="54" t="s">
        <v>395</v>
      </c>
      <c r="D345" s="54" t="s">
        <v>409</v>
      </c>
      <c r="E345" s="27" t="s">
        <v>1943</v>
      </c>
      <c r="F345" s="26" t="s">
        <v>151</v>
      </c>
      <c r="G345" s="25" t="s">
        <v>1944</v>
      </c>
      <c r="H345" s="29"/>
    </row>
    <row r="346" ht="22.5" customHeight="1">
      <c r="A346" s="55" t="s">
        <v>1945</v>
      </c>
      <c r="B346" s="54">
        <v>5.567996641122E12</v>
      </c>
      <c r="C346" s="54" t="s">
        <v>395</v>
      </c>
      <c r="D346" s="54" t="s">
        <v>409</v>
      </c>
      <c r="E346" s="27" t="s">
        <v>1357</v>
      </c>
      <c r="F346" s="26" t="s">
        <v>151</v>
      </c>
      <c r="G346" s="25" t="s">
        <v>1946</v>
      </c>
      <c r="H346" s="29"/>
    </row>
    <row r="347" ht="22.5" customHeight="1">
      <c r="A347" s="55" t="s">
        <v>1947</v>
      </c>
      <c r="B347" s="54">
        <v>5.56730262502E11</v>
      </c>
      <c r="C347" s="54" t="s">
        <v>395</v>
      </c>
      <c r="D347" s="54" t="s">
        <v>409</v>
      </c>
      <c r="E347" s="27" t="s">
        <v>1948</v>
      </c>
      <c r="F347" s="26" t="s">
        <v>151</v>
      </c>
      <c r="G347" s="25" t="s">
        <v>1949</v>
      </c>
      <c r="H347" s="29"/>
    </row>
    <row r="348" ht="22.5" customHeight="1">
      <c r="A348" s="55" t="s">
        <v>1950</v>
      </c>
      <c r="B348" s="54">
        <v>5.56733055803E11</v>
      </c>
      <c r="C348" s="54" t="s">
        <v>395</v>
      </c>
      <c r="D348" s="54" t="s">
        <v>409</v>
      </c>
      <c r="E348" s="27" t="s">
        <v>1205</v>
      </c>
      <c r="F348" s="26" t="s">
        <v>151</v>
      </c>
      <c r="G348" s="25" t="s">
        <v>1951</v>
      </c>
      <c r="H348" s="29"/>
    </row>
    <row r="349" ht="22.5" customHeight="1">
      <c r="A349" s="55" t="s">
        <v>1952</v>
      </c>
      <c r="B349" s="54">
        <v>5.58632338449E11</v>
      </c>
      <c r="C349" s="54" t="s">
        <v>742</v>
      </c>
      <c r="D349" s="54" t="s">
        <v>743</v>
      </c>
      <c r="E349" s="27" t="s">
        <v>1329</v>
      </c>
      <c r="F349" s="26" t="s">
        <v>151</v>
      </c>
      <c r="G349" s="25" t="s">
        <v>1676</v>
      </c>
      <c r="H349" s="29"/>
    </row>
    <row r="350" ht="22.5" customHeight="1">
      <c r="A350" s="81" t="s">
        <v>1953</v>
      </c>
      <c r="B350" s="54">
        <v>5.595991190518E12</v>
      </c>
      <c r="C350" s="54" t="s">
        <v>892</v>
      </c>
      <c r="D350" s="54" t="s">
        <v>893</v>
      </c>
      <c r="E350" s="27" t="s">
        <v>1248</v>
      </c>
      <c r="F350" s="26" t="s">
        <v>151</v>
      </c>
      <c r="G350" s="25" t="s">
        <v>1954</v>
      </c>
      <c r="H350" s="29"/>
    </row>
    <row r="351" ht="22.5" customHeight="1">
      <c r="A351" s="55" t="s">
        <v>1955</v>
      </c>
      <c r="B351" s="54">
        <v>5.59599159263E12</v>
      </c>
      <c r="C351" s="54" t="s">
        <v>892</v>
      </c>
      <c r="D351" s="54" t="s">
        <v>893</v>
      </c>
      <c r="E351" s="27" t="s">
        <v>1187</v>
      </c>
      <c r="F351" s="26" t="s">
        <v>151</v>
      </c>
      <c r="G351" s="25" t="s">
        <v>1956</v>
      </c>
      <c r="H351" s="29"/>
    </row>
    <row r="352" ht="22.5" customHeight="1">
      <c r="A352" s="55" t="s">
        <v>1957</v>
      </c>
      <c r="B352" s="54">
        <v>5.59599168771E12</v>
      </c>
      <c r="C352" s="54" t="s">
        <v>892</v>
      </c>
      <c r="D352" s="54" t="s">
        <v>893</v>
      </c>
      <c r="E352" s="27" t="s">
        <v>1958</v>
      </c>
      <c r="F352" s="26" t="s">
        <v>151</v>
      </c>
      <c r="G352" s="25" t="s">
        <v>1959</v>
      </c>
      <c r="H352" s="29"/>
    </row>
    <row r="353" ht="22.5" customHeight="1">
      <c r="A353" s="81" t="s">
        <v>1960</v>
      </c>
      <c r="B353" s="54">
        <v>5.56932212708E11</v>
      </c>
      <c r="C353" s="54" t="s">
        <v>765</v>
      </c>
      <c r="D353" s="54" t="s">
        <v>897</v>
      </c>
      <c r="E353" s="27" t="s">
        <v>1524</v>
      </c>
      <c r="F353" s="26" t="s">
        <v>151</v>
      </c>
      <c r="G353" s="25" t="s">
        <v>1961</v>
      </c>
      <c r="H353" s="29"/>
    </row>
    <row r="354" ht="22.5" customHeight="1">
      <c r="A354" s="55" t="s">
        <v>1962</v>
      </c>
      <c r="B354" s="54">
        <v>5.56999247464E12</v>
      </c>
      <c r="C354" s="54" t="s">
        <v>765</v>
      </c>
      <c r="D354" s="54" t="s">
        <v>1963</v>
      </c>
      <c r="E354" s="27" t="s">
        <v>1964</v>
      </c>
      <c r="F354" s="26" t="s">
        <v>151</v>
      </c>
      <c r="G354" s="25" t="s">
        <v>1965</v>
      </c>
      <c r="H354" s="29"/>
    </row>
    <row r="355" ht="22.5" customHeight="1">
      <c r="A355" s="55" t="s">
        <v>1966</v>
      </c>
      <c r="B355" s="54">
        <v>5.56999247464E12</v>
      </c>
      <c r="C355" s="54" t="s">
        <v>765</v>
      </c>
      <c r="D355" s="54" t="s">
        <v>1963</v>
      </c>
      <c r="E355" s="27" t="s">
        <v>1964</v>
      </c>
      <c r="F355" s="26" t="s">
        <v>151</v>
      </c>
      <c r="G355" s="25" t="s">
        <v>1967</v>
      </c>
      <c r="H355" s="29"/>
    </row>
    <row r="356" ht="22.5" customHeight="1">
      <c r="A356" s="81" t="s">
        <v>1699</v>
      </c>
      <c r="B356" s="54">
        <v>5.56998138055E12</v>
      </c>
      <c r="C356" s="54" t="s">
        <v>765</v>
      </c>
      <c r="D356" s="54" t="s">
        <v>1700</v>
      </c>
      <c r="E356" s="27" t="s">
        <v>1160</v>
      </c>
      <c r="F356" s="26" t="s">
        <v>151</v>
      </c>
      <c r="G356" s="25" t="s">
        <v>1702</v>
      </c>
      <c r="H356" s="29"/>
    </row>
    <row r="357" ht="22.5" customHeight="1">
      <c r="A357" s="55" t="s">
        <v>1968</v>
      </c>
      <c r="B357" s="54">
        <v>5.5699922376E12</v>
      </c>
      <c r="C357" s="54" t="s">
        <v>765</v>
      </c>
      <c r="D357" s="54" t="s">
        <v>1704</v>
      </c>
      <c r="E357" s="27" t="s">
        <v>1969</v>
      </c>
      <c r="F357" s="26" t="s">
        <v>151</v>
      </c>
      <c r="G357" s="25" t="s">
        <v>1970</v>
      </c>
      <c r="H357" s="29"/>
    </row>
    <row r="358" ht="22.5" customHeight="1">
      <c r="A358" s="25" t="s">
        <v>1971</v>
      </c>
      <c r="B358" s="26">
        <v>5.563999466901E12</v>
      </c>
      <c r="C358" s="26" t="s">
        <v>751</v>
      </c>
      <c r="D358" s="26" t="s">
        <v>1972</v>
      </c>
      <c r="E358" s="27" t="s">
        <v>1575</v>
      </c>
      <c r="F358" s="26" t="s">
        <v>151</v>
      </c>
      <c r="G358" s="25" t="s">
        <v>1973</v>
      </c>
      <c r="H358" s="29"/>
    </row>
    <row r="359" ht="22.5" customHeight="1">
      <c r="A359" s="25" t="s">
        <v>1974</v>
      </c>
      <c r="B359" s="26">
        <v>5.563992099388E12</v>
      </c>
      <c r="C359" s="26" t="s">
        <v>751</v>
      </c>
      <c r="D359" s="26" t="s">
        <v>1975</v>
      </c>
      <c r="E359" s="27" t="s">
        <v>1976</v>
      </c>
      <c r="F359" s="26" t="s">
        <v>151</v>
      </c>
      <c r="G359" s="25" t="s">
        <v>1977</v>
      </c>
      <c r="H359" s="29"/>
    </row>
    <row r="360" ht="22.5" customHeight="1">
      <c r="A360" s="25" t="s">
        <v>1978</v>
      </c>
      <c r="B360" s="26">
        <v>5.563999769778E12</v>
      </c>
      <c r="C360" s="26" t="s">
        <v>751</v>
      </c>
      <c r="D360" s="26" t="s">
        <v>1979</v>
      </c>
      <c r="E360" s="27" t="s">
        <v>1187</v>
      </c>
      <c r="F360" s="26" t="s">
        <v>151</v>
      </c>
      <c r="G360" s="25" t="s">
        <v>1980</v>
      </c>
      <c r="H360" s="29"/>
    </row>
    <row r="361" ht="22.5" customHeight="1">
      <c r="A361" s="28" t="s">
        <v>1981</v>
      </c>
      <c r="B361" s="26">
        <v>5.563991027373E12</v>
      </c>
      <c r="C361" s="26" t="s">
        <v>751</v>
      </c>
      <c r="D361" s="26" t="s">
        <v>1972</v>
      </c>
      <c r="E361" s="27" t="s">
        <v>1187</v>
      </c>
      <c r="F361" s="26" t="s">
        <v>151</v>
      </c>
      <c r="G361" s="25" t="s">
        <v>1982</v>
      </c>
      <c r="H361" s="29"/>
    </row>
    <row r="362" ht="22.5" customHeight="1">
      <c r="A362" s="25" t="s">
        <v>1983</v>
      </c>
      <c r="B362" s="26">
        <v>5.58130386469E11</v>
      </c>
      <c r="C362" s="26" t="s">
        <v>170</v>
      </c>
      <c r="D362" s="26" t="s">
        <v>171</v>
      </c>
      <c r="E362" s="27" t="s">
        <v>106</v>
      </c>
      <c r="F362" s="26" t="s">
        <v>151</v>
      </c>
      <c r="G362" s="25" t="s">
        <v>1984</v>
      </c>
      <c r="H362" s="29"/>
    </row>
    <row r="363" ht="22.5" customHeight="1">
      <c r="A363" s="28" t="s">
        <v>1356</v>
      </c>
      <c r="B363" s="26">
        <v>5.58131399696E11</v>
      </c>
      <c r="C363" s="26" t="s">
        <v>170</v>
      </c>
      <c r="D363" s="26" t="s">
        <v>171</v>
      </c>
      <c r="E363" s="27" t="s">
        <v>1357</v>
      </c>
      <c r="F363" s="26" t="s">
        <v>1387</v>
      </c>
      <c r="G363" s="25" t="s">
        <v>1358</v>
      </c>
      <c r="H363" s="29"/>
    </row>
    <row r="364" ht="22.5" customHeight="1">
      <c r="A364" s="25" t="s">
        <v>1145</v>
      </c>
      <c r="B364" s="26">
        <v>5.58131322222E11</v>
      </c>
      <c r="C364" s="26" t="s">
        <v>170</v>
      </c>
      <c r="D364" s="26" t="s">
        <v>171</v>
      </c>
      <c r="E364" s="27" t="s">
        <v>1985</v>
      </c>
      <c r="F364" s="26" t="s">
        <v>1387</v>
      </c>
      <c r="G364" s="25" t="s">
        <v>1147</v>
      </c>
      <c r="H364" s="29"/>
    </row>
    <row r="365" ht="22.5" customHeight="1">
      <c r="A365" s="28" t="s">
        <v>1986</v>
      </c>
      <c r="B365" s="26">
        <v>5.57141112296E11</v>
      </c>
      <c r="C365" s="26" t="s">
        <v>180</v>
      </c>
      <c r="D365" s="26" t="s">
        <v>1987</v>
      </c>
      <c r="E365" s="27" t="s">
        <v>1685</v>
      </c>
      <c r="F365" s="26" t="s">
        <v>151</v>
      </c>
      <c r="G365" s="25" t="s">
        <v>1988</v>
      </c>
      <c r="H365" s="29"/>
    </row>
    <row r="366" ht="22.5" customHeight="1">
      <c r="A366" s="25" t="s">
        <v>1989</v>
      </c>
      <c r="B366" s="26">
        <v>5.571991308332E12</v>
      </c>
      <c r="C366" s="26" t="s">
        <v>180</v>
      </c>
      <c r="D366" s="26" t="s">
        <v>1987</v>
      </c>
      <c r="E366" s="27" t="s">
        <v>1990</v>
      </c>
      <c r="F366" s="26" t="s">
        <v>151</v>
      </c>
      <c r="G366" s="25" t="s">
        <v>1991</v>
      </c>
      <c r="H366" s="29"/>
    </row>
    <row r="367" ht="22.5" customHeight="1">
      <c r="A367" s="25" t="s">
        <v>1992</v>
      </c>
      <c r="B367" s="26">
        <v>5.57199210979E12</v>
      </c>
      <c r="C367" s="26" t="s">
        <v>180</v>
      </c>
      <c r="D367" s="26" t="s">
        <v>1987</v>
      </c>
      <c r="E367" s="27" t="s">
        <v>1993</v>
      </c>
      <c r="F367" s="26" t="s">
        <v>151</v>
      </c>
      <c r="G367" s="25" t="s">
        <v>1994</v>
      </c>
      <c r="H367" s="29"/>
    </row>
    <row r="368" ht="22.5" customHeight="1">
      <c r="A368" s="28" t="s">
        <v>1995</v>
      </c>
      <c r="B368" s="26">
        <v>5.511978641484E12</v>
      </c>
      <c r="C368" s="26" t="s">
        <v>155</v>
      </c>
      <c r="D368" s="26" t="s">
        <v>156</v>
      </c>
      <c r="E368" s="27" t="s">
        <v>1996</v>
      </c>
      <c r="F368" s="26" t="s">
        <v>151</v>
      </c>
      <c r="G368" s="25" t="s">
        <v>1997</v>
      </c>
      <c r="H368" s="29"/>
    </row>
    <row r="369" ht="22.5" customHeight="1">
      <c r="A369" s="82" t="s">
        <v>1998</v>
      </c>
      <c r="B369" s="26">
        <v>5.591986242419E12</v>
      </c>
      <c r="C369" s="26" t="s">
        <v>285</v>
      </c>
      <c r="D369" s="26" t="s">
        <v>286</v>
      </c>
      <c r="E369" s="27" t="s">
        <v>1999</v>
      </c>
      <c r="F369" s="26" t="s">
        <v>151</v>
      </c>
      <c r="G369" s="25" t="s">
        <v>2000</v>
      </c>
      <c r="H369" s="29"/>
    </row>
    <row r="370" ht="22.5" customHeight="1">
      <c r="A370" s="83" t="s">
        <v>2001</v>
      </c>
      <c r="B370" s="26">
        <v>5.5823028856E11</v>
      </c>
      <c r="C370" s="26" t="s">
        <v>248</v>
      </c>
      <c r="D370" s="26" t="s">
        <v>249</v>
      </c>
      <c r="E370" s="27" t="s">
        <v>1275</v>
      </c>
      <c r="F370" s="26" t="s">
        <v>151</v>
      </c>
      <c r="G370" s="25" t="s">
        <v>2002</v>
      </c>
      <c r="H370" s="29"/>
    </row>
    <row r="371" ht="22.5" customHeight="1">
      <c r="A371" s="25" t="s">
        <v>2003</v>
      </c>
      <c r="B371" s="26">
        <v>5.51130520631E11</v>
      </c>
      <c r="C371" s="26" t="s">
        <v>155</v>
      </c>
      <c r="D371" s="26" t="s">
        <v>156</v>
      </c>
      <c r="E371" s="27" t="s">
        <v>2004</v>
      </c>
      <c r="F371" s="26" t="s">
        <v>151</v>
      </c>
      <c r="G371" s="25" t="s">
        <v>2005</v>
      </c>
      <c r="H371" s="29"/>
    </row>
    <row r="372" ht="22.5" customHeight="1">
      <c r="A372" s="25" t="s">
        <v>2006</v>
      </c>
      <c r="B372" s="26">
        <v>5.51122862008E11</v>
      </c>
      <c r="C372" s="26" t="s">
        <v>155</v>
      </c>
      <c r="D372" s="26" t="s">
        <v>156</v>
      </c>
      <c r="E372" s="27" t="s">
        <v>1531</v>
      </c>
      <c r="F372" s="26" t="s">
        <v>151</v>
      </c>
      <c r="G372" s="25" t="s">
        <v>2007</v>
      </c>
      <c r="H372" s="29"/>
    </row>
    <row r="373" ht="22.5" customHeight="1">
      <c r="A373" s="25" t="s">
        <v>2008</v>
      </c>
      <c r="B373" s="26">
        <v>5.511212965E11</v>
      </c>
      <c r="C373" s="26" t="s">
        <v>155</v>
      </c>
      <c r="D373" s="26" t="s">
        <v>156</v>
      </c>
      <c r="E373" s="27" t="s">
        <v>1935</v>
      </c>
      <c r="F373" s="26" t="s">
        <v>151</v>
      </c>
      <c r="G373" s="25" t="s">
        <v>2009</v>
      </c>
      <c r="H373" s="29"/>
    </row>
    <row r="374" ht="22.5" customHeight="1">
      <c r="A374" s="25" t="s">
        <v>2010</v>
      </c>
      <c r="B374" s="26">
        <v>5.51138683166E11</v>
      </c>
      <c r="C374" s="26" t="s">
        <v>155</v>
      </c>
      <c r="D374" s="26" t="s">
        <v>156</v>
      </c>
      <c r="E374" s="27" t="s">
        <v>190</v>
      </c>
      <c r="F374" s="26" t="s">
        <v>151</v>
      </c>
      <c r="G374" s="25" t="s">
        <v>2011</v>
      </c>
      <c r="H374" s="26" t="s">
        <v>970</v>
      </c>
    </row>
    <row r="375" ht="22.5" customHeight="1">
      <c r="A375" s="25" t="s">
        <v>2012</v>
      </c>
      <c r="B375" s="26">
        <v>5.51130680637E11</v>
      </c>
      <c r="C375" s="26" t="s">
        <v>155</v>
      </c>
      <c r="D375" s="26" t="s">
        <v>156</v>
      </c>
      <c r="E375" s="27" t="s">
        <v>190</v>
      </c>
      <c r="F375" s="26" t="s">
        <v>151</v>
      </c>
      <c r="G375" s="25" t="s">
        <v>2013</v>
      </c>
      <c r="H375" s="26" t="s">
        <v>970</v>
      </c>
    </row>
    <row r="376" ht="22.5" customHeight="1">
      <c r="A376" s="25" t="s">
        <v>2014</v>
      </c>
      <c r="B376" s="26">
        <v>5.51143824668E11</v>
      </c>
      <c r="C376" s="26" t="s">
        <v>155</v>
      </c>
      <c r="D376" s="26" t="s">
        <v>156</v>
      </c>
      <c r="E376" s="27" t="s">
        <v>190</v>
      </c>
      <c r="F376" s="26" t="s">
        <v>151</v>
      </c>
      <c r="G376" s="25" t="s">
        <v>2015</v>
      </c>
      <c r="H376" s="26" t="s">
        <v>970</v>
      </c>
    </row>
    <row r="377" ht="22.5" customHeight="1">
      <c r="A377" s="25" t="s">
        <v>2016</v>
      </c>
      <c r="B377" s="26">
        <v>5.51123693673E11</v>
      </c>
      <c r="C377" s="26" t="s">
        <v>155</v>
      </c>
      <c r="D377" s="26" t="s">
        <v>156</v>
      </c>
      <c r="E377" s="27" t="s">
        <v>190</v>
      </c>
      <c r="F377" s="26" t="s">
        <v>151</v>
      </c>
      <c r="G377" s="25" t="s">
        <v>2017</v>
      </c>
      <c r="H377" s="26" t="s">
        <v>970</v>
      </c>
    </row>
    <row r="378" ht="22.5" customHeight="1">
      <c r="A378" s="25" t="s">
        <v>2018</v>
      </c>
      <c r="B378" s="26">
        <v>5.51141488885E11</v>
      </c>
      <c r="C378" s="26" t="s">
        <v>155</v>
      </c>
      <c r="D378" s="26" t="s">
        <v>156</v>
      </c>
      <c r="E378" s="27" t="s">
        <v>190</v>
      </c>
      <c r="F378" s="26" t="s">
        <v>151</v>
      </c>
      <c r="G378" s="25" t="s">
        <v>2019</v>
      </c>
      <c r="H378" s="26" t="s">
        <v>970</v>
      </c>
    </row>
    <row r="379" ht="22.5" customHeight="1">
      <c r="A379" s="25" t="s">
        <v>2020</v>
      </c>
      <c r="B379" s="26">
        <v>5.51123245181E11</v>
      </c>
      <c r="C379" s="26" t="s">
        <v>155</v>
      </c>
      <c r="D379" s="26" t="s">
        <v>156</v>
      </c>
      <c r="E379" s="27" t="s">
        <v>190</v>
      </c>
      <c r="F379" s="26" t="s">
        <v>151</v>
      </c>
      <c r="G379" s="25" t="s">
        <v>2021</v>
      </c>
      <c r="H379" s="26" t="s">
        <v>970</v>
      </c>
    </row>
    <row r="380" ht="22.5" customHeight="1">
      <c r="A380" s="25" t="s">
        <v>2022</v>
      </c>
      <c r="B380" s="26">
        <v>5.51123767558E11</v>
      </c>
      <c r="C380" s="26" t="s">
        <v>155</v>
      </c>
      <c r="D380" s="26" t="s">
        <v>156</v>
      </c>
      <c r="E380" s="27" t="s">
        <v>190</v>
      </c>
      <c r="F380" s="26" t="s">
        <v>151</v>
      </c>
      <c r="G380" s="25" t="s">
        <v>2023</v>
      </c>
      <c r="H380" s="26" t="s">
        <v>970</v>
      </c>
    </row>
    <row r="381" ht="22.5" customHeight="1">
      <c r="A381" s="25" t="s">
        <v>2024</v>
      </c>
      <c r="B381" s="26">
        <v>5.5113181274E11</v>
      </c>
      <c r="C381" s="26" t="s">
        <v>155</v>
      </c>
      <c r="D381" s="26" t="s">
        <v>156</v>
      </c>
      <c r="E381" s="27" t="s">
        <v>190</v>
      </c>
      <c r="F381" s="26" t="s">
        <v>151</v>
      </c>
      <c r="G381" s="25" t="s">
        <v>2025</v>
      </c>
      <c r="H381" s="26" t="s">
        <v>970</v>
      </c>
    </row>
    <row r="382" ht="22.5" customHeight="1">
      <c r="A382" s="25" t="s">
        <v>2026</v>
      </c>
      <c r="B382" s="26">
        <v>5.51131646935E11</v>
      </c>
      <c r="C382" s="26" t="s">
        <v>155</v>
      </c>
      <c r="D382" s="26" t="s">
        <v>156</v>
      </c>
      <c r="E382" s="27" t="s">
        <v>190</v>
      </c>
      <c r="F382" s="26" t="s">
        <v>151</v>
      </c>
      <c r="G382" s="25" t="s">
        <v>2027</v>
      </c>
      <c r="H382" s="26" t="s">
        <v>970</v>
      </c>
    </row>
    <row r="383" ht="22.5" customHeight="1">
      <c r="A383" s="25" t="s">
        <v>2028</v>
      </c>
      <c r="B383" s="26">
        <v>5.5114378448E11</v>
      </c>
      <c r="C383" s="26" t="s">
        <v>155</v>
      </c>
      <c r="D383" s="26" t="s">
        <v>156</v>
      </c>
      <c r="E383" s="27" t="s">
        <v>190</v>
      </c>
      <c r="F383" s="26" t="s">
        <v>151</v>
      </c>
      <c r="G383" s="25" t="s">
        <v>2029</v>
      </c>
      <c r="H383" s="26" t="s">
        <v>970</v>
      </c>
    </row>
    <row r="384" ht="22.5" customHeight="1">
      <c r="A384" s="25" t="s">
        <v>2030</v>
      </c>
      <c r="B384" s="26">
        <v>5.51131646857E11</v>
      </c>
      <c r="C384" s="26" t="s">
        <v>155</v>
      </c>
      <c r="D384" s="26" t="s">
        <v>156</v>
      </c>
      <c r="E384" s="27" t="s">
        <v>190</v>
      </c>
      <c r="F384" s="26" t="s">
        <v>151</v>
      </c>
      <c r="G384" s="25" t="s">
        <v>2031</v>
      </c>
      <c r="H384" s="26" t="s">
        <v>970</v>
      </c>
    </row>
    <row r="385" ht="22.5" customHeight="1">
      <c r="A385" s="25" t="s">
        <v>2032</v>
      </c>
      <c r="B385" s="26">
        <v>5.51127372003E11</v>
      </c>
      <c r="C385" s="26" t="s">
        <v>155</v>
      </c>
      <c r="D385" s="26" t="s">
        <v>156</v>
      </c>
      <c r="E385" s="27" t="s">
        <v>190</v>
      </c>
      <c r="F385" s="26" t="s">
        <v>151</v>
      </c>
      <c r="G385" s="25" t="s">
        <v>2033</v>
      </c>
      <c r="H385" s="26" t="s">
        <v>970</v>
      </c>
    </row>
    <row r="386" ht="22.5" customHeight="1">
      <c r="A386" s="25" t="s">
        <v>2034</v>
      </c>
      <c r="B386" s="26">
        <v>5.51126388834E11</v>
      </c>
      <c r="C386" s="26" t="s">
        <v>155</v>
      </c>
      <c r="D386" s="26" t="s">
        <v>156</v>
      </c>
      <c r="E386" s="27" t="s">
        <v>190</v>
      </c>
      <c r="F386" s="26" t="s">
        <v>151</v>
      </c>
      <c r="G386" s="25" t="s">
        <v>2035</v>
      </c>
      <c r="H386" s="26" t="s">
        <v>970</v>
      </c>
    </row>
    <row r="387" ht="22.5" customHeight="1">
      <c r="A387" s="25" t="s">
        <v>2036</v>
      </c>
      <c r="B387" s="26">
        <v>5.51151162259E11</v>
      </c>
      <c r="C387" s="26" t="s">
        <v>155</v>
      </c>
      <c r="D387" s="26" t="s">
        <v>156</v>
      </c>
      <c r="E387" s="27" t="s">
        <v>190</v>
      </c>
      <c r="F387" s="26" t="s">
        <v>151</v>
      </c>
      <c r="G387" s="25" t="s">
        <v>2037</v>
      </c>
      <c r="H387" s="26" t="s">
        <v>970</v>
      </c>
    </row>
    <row r="388" ht="22.5" customHeight="1">
      <c r="A388" s="25" t="s">
        <v>2038</v>
      </c>
      <c r="B388" s="26">
        <v>5.51151998041E11</v>
      </c>
      <c r="C388" s="26" t="s">
        <v>155</v>
      </c>
      <c r="D388" s="26" t="s">
        <v>156</v>
      </c>
      <c r="E388" s="27" t="s">
        <v>190</v>
      </c>
      <c r="F388" s="26" t="s">
        <v>151</v>
      </c>
      <c r="G388" s="25" t="s">
        <v>2039</v>
      </c>
      <c r="H388" s="26" t="s">
        <v>970</v>
      </c>
    </row>
    <row r="389" ht="22.5" customHeight="1">
      <c r="A389" s="25" t="s">
        <v>2040</v>
      </c>
      <c r="B389" s="26">
        <v>5.51137293846E11</v>
      </c>
      <c r="C389" s="26" t="s">
        <v>155</v>
      </c>
      <c r="D389" s="26" t="s">
        <v>156</v>
      </c>
      <c r="E389" s="27" t="s">
        <v>190</v>
      </c>
      <c r="F389" s="26" t="s">
        <v>151</v>
      </c>
      <c r="G389" s="25" t="s">
        <v>2041</v>
      </c>
      <c r="H389" s="26" t="s">
        <v>970</v>
      </c>
    </row>
    <row r="390" ht="22.5" customHeight="1">
      <c r="A390" s="25" t="s">
        <v>2042</v>
      </c>
      <c r="B390" s="26">
        <v>5.51126402545E11</v>
      </c>
      <c r="C390" s="26" t="s">
        <v>155</v>
      </c>
      <c r="D390" s="26" t="s">
        <v>156</v>
      </c>
      <c r="E390" s="27" t="s">
        <v>190</v>
      </c>
      <c r="F390" s="26" t="s">
        <v>151</v>
      </c>
      <c r="G390" s="25" t="s">
        <v>2043</v>
      </c>
      <c r="H390" s="26" t="s">
        <v>970</v>
      </c>
    </row>
    <row r="391" ht="22.5" customHeight="1">
      <c r="A391" s="25" t="s">
        <v>2044</v>
      </c>
      <c r="B391" s="26">
        <v>5.51127683178E11</v>
      </c>
      <c r="C391" s="26" t="s">
        <v>155</v>
      </c>
      <c r="D391" s="26" t="s">
        <v>156</v>
      </c>
      <c r="E391" s="27" t="s">
        <v>190</v>
      </c>
      <c r="F391" s="26" t="s">
        <v>151</v>
      </c>
      <c r="G391" s="25" t="s">
        <v>2045</v>
      </c>
      <c r="H391" s="26" t="s">
        <v>970</v>
      </c>
    </row>
    <row r="392" ht="22.5" customHeight="1">
      <c r="A392" s="25" t="s">
        <v>2046</v>
      </c>
      <c r="B392" s="26">
        <v>5.511263804E11</v>
      </c>
      <c r="C392" s="26" t="s">
        <v>155</v>
      </c>
      <c r="D392" s="26" t="s">
        <v>156</v>
      </c>
      <c r="E392" s="27" t="s">
        <v>190</v>
      </c>
      <c r="F392" s="26" t="s">
        <v>151</v>
      </c>
      <c r="G392" s="25" t="s">
        <v>2047</v>
      </c>
      <c r="H392" s="26" t="s">
        <v>970</v>
      </c>
    </row>
    <row r="393" ht="22.5" customHeight="1">
      <c r="A393" s="25" t="s">
        <v>2048</v>
      </c>
      <c r="B393" s="26">
        <v>5.51125398828E11</v>
      </c>
      <c r="C393" s="26" t="s">
        <v>155</v>
      </c>
      <c r="D393" s="26" t="s">
        <v>156</v>
      </c>
      <c r="E393" s="27" t="s">
        <v>190</v>
      </c>
      <c r="F393" s="26" t="s">
        <v>151</v>
      </c>
      <c r="G393" s="25" t="s">
        <v>2049</v>
      </c>
      <c r="H393" s="26" t="s">
        <v>970</v>
      </c>
    </row>
    <row r="394" ht="22.5" customHeight="1">
      <c r="A394" s="25" t="s">
        <v>2050</v>
      </c>
      <c r="B394" s="26">
        <v>5.51131646823E11</v>
      </c>
      <c r="C394" s="26" t="s">
        <v>155</v>
      </c>
      <c r="D394" s="26" t="s">
        <v>156</v>
      </c>
      <c r="E394" s="27" t="s">
        <v>190</v>
      </c>
      <c r="F394" s="26" t="s">
        <v>151</v>
      </c>
      <c r="G394" s="25" t="s">
        <v>2051</v>
      </c>
      <c r="H394" s="26" t="s">
        <v>970</v>
      </c>
    </row>
    <row r="395" ht="22.5" customHeight="1">
      <c r="A395" s="25" t="s">
        <v>2052</v>
      </c>
      <c r="B395" s="26">
        <v>5.51131640182E11</v>
      </c>
      <c r="C395" s="26" t="s">
        <v>155</v>
      </c>
      <c r="D395" s="26" t="s">
        <v>156</v>
      </c>
      <c r="E395" s="27" t="s">
        <v>1443</v>
      </c>
      <c r="F395" s="26" t="s">
        <v>151</v>
      </c>
      <c r="G395" s="25" t="s">
        <v>2053</v>
      </c>
      <c r="H395" s="29"/>
    </row>
    <row r="396" ht="22.5" customHeight="1">
      <c r="A396" s="25" t="s">
        <v>2054</v>
      </c>
      <c r="B396" s="26">
        <v>5.51131640182E11</v>
      </c>
      <c r="C396" s="26" t="s">
        <v>155</v>
      </c>
      <c r="D396" s="26" t="s">
        <v>156</v>
      </c>
      <c r="E396" s="27" t="s">
        <v>1443</v>
      </c>
      <c r="F396" s="26" t="s">
        <v>151</v>
      </c>
      <c r="G396" s="25" t="s">
        <v>2055</v>
      </c>
      <c r="H396" s="29"/>
    </row>
    <row r="397" ht="22.5" customHeight="1">
      <c r="A397" s="25" t="s">
        <v>2056</v>
      </c>
      <c r="B397" s="26">
        <v>5.5115043622E11</v>
      </c>
      <c r="C397" s="26" t="s">
        <v>155</v>
      </c>
      <c r="D397" s="26" t="s">
        <v>156</v>
      </c>
      <c r="E397" s="27" t="s">
        <v>1443</v>
      </c>
      <c r="F397" s="26" t="s">
        <v>151</v>
      </c>
      <c r="G397" s="25" t="s">
        <v>2057</v>
      </c>
      <c r="H397" s="29"/>
    </row>
    <row r="398" ht="22.5" customHeight="1">
      <c r="A398" s="25" t="s">
        <v>2058</v>
      </c>
      <c r="B398" s="26">
        <v>5.51125281122E11</v>
      </c>
      <c r="C398" s="26" t="s">
        <v>155</v>
      </c>
      <c r="D398" s="26" t="s">
        <v>156</v>
      </c>
      <c r="E398" s="27" t="s">
        <v>2059</v>
      </c>
      <c r="F398" s="26" t="s">
        <v>151</v>
      </c>
      <c r="G398" s="25" t="s">
        <v>2060</v>
      </c>
      <c r="H398" s="29"/>
    </row>
    <row r="399" ht="22.5" customHeight="1">
      <c r="A399" s="25" t="s">
        <v>2061</v>
      </c>
      <c r="B399" s="26">
        <v>5.51150433795E11</v>
      </c>
      <c r="C399" s="26" t="s">
        <v>155</v>
      </c>
      <c r="D399" s="26" t="s">
        <v>156</v>
      </c>
      <c r="E399" s="27" t="s">
        <v>1443</v>
      </c>
      <c r="F399" s="26" t="s">
        <v>151</v>
      </c>
      <c r="G399" s="25" t="s">
        <v>2062</v>
      </c>
      <c r="H399" s="29"/>
    </row>
    <row r="400" ht="22.5" customHeight="1">
      <c r="A400" s="25" t="s">
        <v>2063</v>
      </c>
      <c r="B400" s="26">
        <v>5.51139011063E11</v>
      </c>
      <c r="C400" s="26" t="s">
        <v>155</v>
      </c>
      <c r="D400" s="26" t="s">
        <v>156</v>
      </c>
      <c r="E400" s="27" t="s">
        <v>2064</v>
      </c>
      <c r="F400" s="26" t="s">
        <v>151</v>
      </c>
      <c r="G400" s="25" t="s">
        <v>2065</v>
      </c>
      <c r="H400" s="29"/>
    </row>
    <row r="401" ht="22.5" customHeight="1">
      <c r="A401" s="28" t="s">
        <v>2066</v>
      </c>
      <c r="B401" s="26">
        <v>5.51122781341E11</v>
      </c>
      <c r="C401" s="26" t="s">
        <v>155</v>
      </c>
      <c r="D401" s="26" t="s">
        <v>156</v>
      </c>
      <c r="E401" s="27" t="s">
        <v>2067</v>
      </c>
      <c r="F401" s="26" t="s">
        <v>151</v>
      </c>
      <c r="G401" s="25" t="s">
        <v>2068</v>
      </c>
      <c r="H401" s="29"/>
    </row>
    <row r="402" ht="22.5" customHeight="1">
      <c r="A402" s="28" t="s">
        <v>2069</v>
      </c>
      <c r="B402" s="26">
        <v>5.51136758961E11</v>
      </c>
      <c r="C402" s="26" t="s">
        <v>155</v>
      </c>
      <c r="D402" s="26" t="s">
        <v>156</v>
      </c>
      <c r="E402" s="27" t="s">
        <v>1540</v>
      </c>
      <c r="F402" s="26" t="s">
        <v>151</v>
      </c>
      <c r="G402" s="25" t="s">
        <v>2070</v>
      </c>
      <c r="H402" s="29"/>
    </row>
    <row r="403" ht="22.5" customHeight="1">
      <c r="A403" s="25" t="s">
        <v>1442</v>
      </c>
      <c r="B403" s="26">
        <v>5.5113060283E11</v>
      </c>
      <c r="C403" s="26" t="s">
        <v>155</v>
      </c>
      <c r="D403" s="26" t="s">
        <v>156</v>
      </c>
      <c r="E403" s="27" t="s">
        <v>1443</v>
      </c>
      <c r="F403" s="26" t="s">
        <v>151</v>
      </c>
      <c r="G403" s="25" t="s">
        <v>1444</v>
      </c>
      <c r="H403" s="29"/>
    </row>
    <row r="404" ht="22.5" customHeight="1">
      <c r="A404" s="25" t="s">
        <v>2071</v>
      </c>
      <c r="B404" s="26">
        <v>5.51155728778E11</v>
      </c>
      <c r="C404" s="26" t="s">
        <v>155</v>
      </c>
      <c r="D404" s="26" t="s">
        <v>156</v>
      </c>
      <c r="E404" s="27" t="s">
        <v>1443</v>
      </c>
      <c r="F404" s="26" t="s">
        <v>151</v>
      </c>
      <c r="G404" s="25" t="s">
        <v>2072</v>
      </c>
      <c r="H404" s="29"/>
    </row>
    <row r="405" ht="22.5" customHeight="1">
      <c r="A405" s="25" t="s">
        <v>2073</v>
      </c>
      <c r="B405" s="26">
        <v>5.51150430546E11</v>
      </c>
      <c r="C405" s="26" t="s">
        <v>155</v>
      </c>
      <c r="D405" s="26" t="s">
        <v>156</v>
      </c>
      <c r="E405" s="27" t="s">
        <v>1443</v>
      </c>
      <c r="F405" s="26" t="s">
        <v>151</v>
      </c>
      <c r="G405" s="25" t="s">
        <v>2074</v>
      </c>
      <c r="H405" s="29"/>
    </row>
    <row r="406" ht="22.5" customHeight="1">
      <c r="A406" s="25" t="s">
        <v>2075</v>
      </c>
      <c r="B406" s="26">
        <v>5.5112853057E11</v>
      </c>
      <c r="C406" s="26" t="s">
        <v>155</v>
      </c>
      <c r="D406" s="26" t="s">
        <v>156</v>
      </c>
      <c r="E406" s="27" t="s">
        <v>1443</v>
      </c>
      <c r="F406" s="26" t="s">
        <v>151</v>
      </c>
      <c r="G406" s="25" t="s">
        <v>2076</v>
      </c>
      <c r="H406" s="29"/>
    </row>
    <row r="407" ht="22.5" customHeight="1">
      <c r="A407" s="25" t="s">
        <v>2077</v>
      </c>
      <c r="B407" s="26">
        <v>5.51150433756E11</v>
      </c>
      <c r="C407" s="26" t="s">
        <v>155</v>
      </c>
      <c r="D407" s="26" t="s">
        <v>156</v>
      </c>
      <c r="E407" s="27" t="s">
        <v>1443</v>
      </c>
      <c r="F407" s="26" t="s">
        <v>151</v>
      </c>
      <c r="G407" s="25" t="s">
        <v>2078</v>
      </c>
      <c r="H407" s="29"/>
    </row>
    <row r="408" ht="22.5" customHeight="1">
      <c r="A408" s="25" t="s">
        <v>2079</v>
      </c>
      <c r="B408" s="26">
        <v>5.55121651165E11</v>
      </c>
      <c r="C408" s="26" t="s">
        <v>361</v>
      </c>
      <c r="D408" s="26" t="s">
        <v>362</v>
      </c>
      <c r="E408" s="27" t="s">
        <v>1853</v>
      </c>
      <c r="F408" s="26" t="s">
        <v>151</v>
      </c>
      <c r="G408" s="25" t="s">
        <v>2080</v>
      </c>
      <c r="H408" s="29"/>
    </row>
    <row r="409" ht="22.5" customHeight="1">
      <c r="A409" s="25" t="s">
        <v>2081</v>
      </c>
      <c r="B409" s="26">
        <v>5.51150433766E11</v>
      </c>
      <c r="C409" s="26" t="s">
        <v>155</v>
      </c>
      <c r="D409" s="26" t="s">
        <v>156</v>
      </c>
      <c r="E409" s="27" t="s">
        <v>1443</v>
      </c>
      <c r="F409" s="26" t="s">
        <v>151</v>
      </c>
      <c r="G409" s="25" t="s">
        <v>2082</v>
      </c>
      <c r="H409" s="29"/>
    </row>
    <row r="410" ht="22.5" customHeight="1">
      <c r="A410" s="25" t="s">
        <v>2083</v>
      </c>
      <c r="B410" s="26">
        <v>5.55135113319E11</v>
      </c>
      <c r="C410" s="26" t="s">
        <v>361</v>
      </c>
      <c r="D410" s="26" t="s">
        <v>362</v>
      </c>
      <c r="E410" s="27" t="s">
        <v>1853</v>
      </c>
      <c r="F410" s="26" t="s">
        <v>151</v>
      </c>
      <c r="G410" s="25" t="s">
        <v>2084</v>
      </c>
      <c r="H410" s="29"/>
    </row>
    <row r="411" ht="22.5" customHeight="1">
      <c r="A411" s="25" t="s">
        <v>2085</v>
      </c>
      <c r="B411" s="26">
        <v>5.51150438398E11</v>
      </c>
      <c r="C411" s="26" t="s">
        <v>155</v>
      </c>
      <c r="D411" s="26" t="s">
        <v>156</v>
      </c>
      <c r="E411" s="27" t="s">
        <v>1443</v>
      </c>
      <c r="F411" s="26" t="s">
        <v>151</v>
      </c>
      <c r="G411" s="25" t="s">
        <v>2086</v>
      </c>
      <c r="H411" s="29"/>
    </row>
    <row r="412" ht="22.5" customHeight="1">
      <c r="A412" s="25" t="s">
        <v>2087</v>
      </c>
      <c r="B412" s="26">
        <v>5.51150430571E11</v>
      </c>
      <c r="C412" s="26" t="s">
        <v>155</v>
      </c>
      <c r="D412" s="26" t="s">
        <v>156</v>
      </c>
      <c r="E412" s="27" t="s">
        <v>1443</v>
      </c>
      <c r="F412" s="26" t="s">
        <v>151</v>
      </c>
      <c r="G412" s="25" t="s">
        <v>2088</v>
      </c>
      <c r="H412" s="29"/>
    </row>
    <row r="413" ht="22.5" customHeight="1">
      <c r="A413" s="28" t="s">
        <v>2089</v>
      </c>
      <c r="B413" s="26">
        <v>5.51147273745E11</v>
      </c>
      <c r="C413" s="26" t="s">
        <v>155</v>
      </c>
      <c r="D413" s="26" t="s">
        <v>2090</v>
      </c>
      <c r="E413" s="27" t="s">
        <v>2091</v>
      </c>
      <c r="F413" s="26" t="s">
        <v>151</v>
      </c>
      <c r="G413" s="25" t="s">
        <v>2092</v>
      </c>
      <c r="H413" s="29"/>
    </row>
    <row r="414" ht="22.5" customHeight="1">
      <c r="A414" s="25" t="s">
        <v>2093</v>
      </c>
      <c r="B414" s="26">
        <v>5.51125673012E11</v>
      </c>
      <c r="C414" s="26" t="s">
        <v>155</v>
      </c>
      <c r="D414" s="26" t="s">
        <v>2094</v>
      </c>
      <c r="E414" s="27" t="s">
        <v>2095</v>
      </c>
      <c r="F414" s="26" t="s">
        <v>151</v>
      </c>
      <c r="G414" s="25" t="s">
        <v>2096</v>
      </c>
      <c r="H414" s="29"/>
    </row>
    <row r="415" ht="22.5" customHeight="1">
      <c r="A415" s="25" t="s">
        <v>2097</v>
      </c>
      <c r="B415" s="26">
        <v>5.51125673012E11</v>
      </c>
      <c r="C415" s="26" t="s">
        <v>155</v>
      </c>
      <c r="D415" s="26" t="s">
        <v>156</v>
      </c>
      <c r="E415" s="27" t="s">
        <v>2095</v>
      </c>
      <c r="F415" s="26" t="s">
        <v>151</v>
      </c>
      <c r="G415" s="25" t="s">
        <v>2096</v>
      </c>
      <c r="H415" s="29"/>
    </row>
    <row r="416" ht="22.5" customHeight="1">
      <c r="A416" s="28" t="s">
        <v>2098</v>
      </c>
      <c r="B416" s="26">
        <v>5.51147463691E11</v>
      </c>
      <c r="C416" s="26" t="s">
        <v>155</v>
      </c>
      <c r="D416" s="26" t="s">
        <v>2094</v>
      </c>
      <c r="E416" s="27" t="s">
        <v>2099</v>
      </c>
      <c r="F416" s="26" t="s">
        <v>151</v>
      </c>
      <c r="G416" s="25" t="s">
        <v>2100</v>
      </c>
      <c r="H416" s="29"/>
    </row>
    <row r="417" ht="22.5" customHeight="1">
      <c r="A417" s="25" t="s">
        <v>2101</v>
      </c>
      <c r="B417" s="26">
        <v>5.51129248122E11</v>
      </c>
      <c r="C417" s="26" t="s">
        <v>155</v>
      </c>
      <c r="D417" s="26" t="s">
        <v>2102</v>
      </c>
      <c r="E417" s="27" t="s">
        <v>1524</v>
      </c>
      <c r="F417" s="26" t="s">
        <v>151</v>
      </c>
      <c r="G417" s="25" t="s">
        <v>2103</v>
      </c>
      <c r="H417" s="29"/>
    </row>
    <row r="418" ht="22.5" customHeight="1">
      <c r="A418" s="25" t="s">
        <v>2104</v>
      </c>
      <c r="B418" s="26">
        <v>5.5115565898E11</v>
      </c>
      <c r="C418" s="26" t="s">
        <v>155</v>
      </c>
      <c r="D418" s="26" t="s">
        <v>156</v>
      </c>
      <c r="E418" s="27" t="s">
        <v>2105</v>
      </c>
      <c r="F418" s="26" t="s">
        <v>151</v>
      </c>
      <c r="G418" s="25" t="s">
        <v>2106</v>
      </c>
      <c r="H418" s="29"/>
    </row>
    <row r="419" ht="22.5" customHeight="1">
      <c r="A419" s="25" t="s">
        <v>2107</v>
      </c>
      <c r="B419" s="26" t="s">
        <v>2108</v>
      </c>
      <c r="C419" s="26" t="s">
        <v>155</v>
      </c>
      <c r="D419" s="26" t="s">
        <v>2109</v>
      </c>
      <c r="E419" s="27" t="s">
        <v>75</v>
      </c>
      <c r="F419" s="26" t="s">
        <v>151</v>
      </c>
      <c r="G419" s="25" t="s">
        <v>2110</v>
      </c>
      <c r="H419" s="26" t="s">
        <v>970</v>
      </c>
    </row>
    <row r="420" ht="22.5" customHeight="1">
      <c r="A420" s="25" t="s">
        <v>2111</v>
      </c>
      <c r="B420" s="26">
        <v>5.51194985891E12</v>
      </c>
      <c r="C420" s="26" t="s">
        <v>155</v>
      </c>
      <c r="D420" s="26" t="s">
        <v>156</v>
      </c>
      <c r="E420" s="27" t="s">
        <v>2112</v>
      </c>
      <c r="F420" s="26" t="s">
        <v>151</v>
      </c>
      <c r="G420" s="25" t="s">
        <v>2113</v>
      </c>
      <c r="H420" s="26" t="s">
        <v>970</v>
      </c>
    </row>
    <row r="421" ht="22.5" customHeight="1">
      <c r="A421" s="25" t="s">
        <v>2114</v>
      </c>
      <c r="B421" s="26">
        <v>5.51150979642E11</v>
      </c>
      <c r="C421" s="26" t="s">
        <v>155</v>
      </c>
      <c r="D421" s="26" t="s">
        <v>156</v>
      </c>
      <c r="E421" s="27" t="s">
        <v>2115</v>
      </c>
      <c r="F421" s="26" t="s">
        <v>151</v>
      </c>
      <c r="G421" s="25" t="s">
        <v>2116</v>
      </c>
      <c r="H421" s="29"/>
    </row>
    <row r="422" ht="22.5" customHeight="1">
      <c r="A422" s="25" t="s">
        <v>2117</v>
      </c>
      <c r="B422" s="26">
        <v>5.51151080092E11</v>
      </c>
      <c r="C422" s="26" t="s">
        <v>155</v>
      </c>
      <c r="D422" s="26" t="s">
        <v>156</v>
      </c>
      <c r="E422" s="27" t="s">
        <v>2118</v>
      </c>
      <c r="F422" s="26" t="s">
        <v>151</v>
      </c>
      <c r="G422" s="25" t="s">
        <v>2119</v>
      </c>
      <c r="H422" s="29"/>
    </row>
    <row r="423" ht="22.5" customHeight="1">
      <c r="A423" s="28" t="s">
        <v>2120</v>
      </c>
      <c r="B423" s="26">
        <v>5.51155894338E11</v>
      </c>
      <c r="C423" s="26" t="s">
        <v>155</v>
      </c>
      <c r="D423" s="26" t="s">
        <v>156</v>
      </c>
      <c r="E423" s="27" t="s">
        <v>2121</v>
      </c>
      <c r="F423" s="26" t="s">
        <v>151</v>
      </c>
      <c r="G423" s="25" t="s">
        <v>2122</v>
      </c>
      <c r="H423" s="29"/>
    </row>
    <row r="424" ht="22.5" customHeight="1">
      <c r="A424" s="28" t="s">
        <v>2123</v>
      </c>
      <c r="B424" s="26">
        <v>5.51146730056E11</v>
      </c>
      <c r="C424" s="26" t="s">
        <v>155</v>
      </c>
      <c r="D424" s="26" t="s">
        <v>156</v>
      </c>
      <c r="E424" s="27" t="s">
        <v>2124</v>
      </c>
      <c r="F424" s="26" t="s">
        <v>151</v>
      </c>
      <c r="G424" s="25" t="s">
        <v>2125</v>
      </c>
      <c r="H424" s="29"/>
    </row>
    <row r="425" ht="22.5" customHeight="1">
      <c r="A425" s="25" t="s">
        <v>2126</v>
      </c>
      <c r="B425" s="26">
        <v>5.5113589209E11</v>
      </c>
      <c r="C425" s="26" t="s">
        <v>155</v>
      </c>
      <c r="D425" s="26" t="s">
        <v>156</v>
      </c>
      <c r="E425" s="27" t="s">
        <v>2127</v>
      </c>
      <c r="F425" s="26" t="s">
        <v>151</v>
      </c>
      <c r="G425" s="25" t="s">
        <v>2128</v>
      </c>
      <c r="H425" s="29"/>
    </row>
    <row r="426" ht="22.5" customHeight="1">
      <c r="A426" s="25" t="s">
        <v>2129</v>
      </c>
      <c r="B426" s="26">
        <v>5.5112609041E11</v>
      </c>
      <c r="C426" s="26" t="s">
        <v>155</v>
      </c>
      <c r="D426" s="26" t="s">
        <v>156</v>
      </c>
      <c r="E426" s="27" t="s">
        <v>1257</v>
      </c>
      <c r="F426" s="26" t="s">
        <v>151</v>
      </c>
      <c r="G426" s="25" t="s">
        <v>2130</v>
      </c>
      <c r="H426" s="29"/>
    </row>
    <row r="427" ht="22.5" customHeight="1">
      <c r="A427" s="25" t="s">
        <v>2131</v>
      </c>
      <c r="B427" s="26">
        <v>5.51149971146E11</v>
      </c>
      <c r="C427" s="26" t="s">
        <v>155</v>
      </c>
      <c r="D427" s="26" t="s">
        <v>156</v>
      </c>
      <c r="E427" s="27" t="s">
        <v>2132</v>
      </c>
      <c r="F427" s="26" t="s">
        <v>151</v>
      </c>
      <c r="G427" s="25" t="s">
        <v>2133</v>
      </c>
      <c r="H427" s="29"/>
    </row>
    <row r="428" ht="22.5" customHeight="1">
      <c r="A428" s="25" t="s">
        <v>2134</v>
      </c>
      <c r="B428" s="26">
        <v>5.51150417349E11</v>
      </c>
      <c r="C428" s="26" t="s">
        <v>155</v>
      </c>
      <c r="D428" s="26" t="s">
        <v>156</v>
      </c>
      <c r="E428" s="27" t="s">
        <v>2135</v>
      </c>
      <c r="F428" s="26" t="s">
        <v>151</v>
      </c>
      <c r="G428" s="25" t="s">
        <v>2136</v>
      </c>
      <c r="H428" s="29"/>
    </row>
    <row r="429" ht="22.5" customHeight="1">
      <c r="A429" s="25" t="s">
        <v>2137</v>
      </c>
      <c r="B429" s="26">
        <v>5.51135894938E11</v>
      </c>
      <c r="C429" s="26" t="s">
        <v>155</v>
      </c>
      <c r="D429" s="26" t="s">
        <v>156</v>
      </c>
      <c r="E429" s="27" t="s">
        <v>2138</v>
      </c>
      <c r="F429" s="26" t="s">
        <v>151</v>
      </c>
      <c r="G429" s="25" t="s">
        <v>2139</v>
      </c>
      <c r="H429" s="29"/>
    </row>
    <row r="430" ht="22.5" customHeight="1">
      <c r="A430" s="25" t="s">
        <v>1471</v>
      </c>
      <c r="B430" s="26">
        <v>5.51129055444E11</v>
      </c>
      <c r="C430" s="26" t="s">
        <v>155</v>
      </c>
      <c r="D430" s="26" t="s">
        <v>156</v>
      </c>
      <c r="E430" s="27" t="s">
        <v>1272</v>
      </c>
      <c r="F430" s="26" t="s">
        <v>151</v>
      </c>
      <c r="G430" s="25" t="s">
        <v>1472</v>
      </c>
      <c r="H430" s="29"/>
    </row>
    <row r="431" ht="22.5" customHeight="1">
      <c r="A431" s="25" t="s">
        <v>2140</v>
      </c>
      <c r="B431" s="26">
        <v>5.52433650019E11</v>
      </c>
      <c r="C431" s="26" t="s">
        <v>149</v>
      </c>
      <c r="D431" s="26" t="s">
        <v>723</v>
      </c>
      <c r="E431" s="27" t="s">
        <v>1160</v>
      </c>
      <c r="F431" s="26" t="s">
        <v>151</v>
      </c>
      <c r="G431" s="25" t="s">
        <v>2141</v>
      </c>
      <c r="H431" s="29"/>
    </row>
    <row r="432" ht="22.5" customHeight="1">
      <c r="A432" s="25" t="s">
        <v>2142</v>
      </c>
      <c r="B432" s="26">
        <v>5.52433776623E11</v>
      </c>
      <c r="C432" s="26" t="s">
        <v>149</v>
      </c>
      <c r="D432" s="26" t="s">
        <v>723</v>
      </c>
      <c r="E432" s="27" t="s">
        <v>1935</v>
      </c>
      <c r="F432" s="26" t="s">
        <v>151</v>
      </c>
      <c r="G432" s="25" t="s">
        <v>2143</v>
      </c>
      <c r="H432" s="29"/>
    </row>
    <row r="433" ht="22.5" customHeight="1">
      <c r="A433" s="25" t="s">
        <v>2144</v>
      </c>
      <c r="B433" s="26">
        <v>5.54130770023E11</v>
      </c>
      <c r="C433" s="26" t="s">
        <v>194</v>
      </c>
      <c r="D433" s="26" t="s">
        <v>195</v>
      </c>
      <c r="E433" s="27" t="s">
        <v>1335</v>
      </c>
      <c r="F433" s="26" t="s">
        <v>151</v>
      </c>
      <c r="G433" s="25" t="s">
        <v>2145</v>
      </c>
      <c r="H433" s="29"/>
    </row>
    <row r="434" ht="22.5" customHeight="1">
      <c r="A434" s="25" t="s">
        <v>2146</v>
      </c>
      <c r="B434" s="26">
        <v>5.54132968673E11</v>
      </c>
      <c r="C434" s="26" t="s">
        <v>194</v>
      </c>
      <c r="D434" s="26" t="s">
        <v>195</v>
      </c>
      <c r="E434" s="27" t="s">
        <v>2147</v>
      </c>
      <c r="F434" s="26" t="s">
        <v>1597</v>
      </c>
      <c r="G434" s="25" t="s">
        <v>2148</v>
      </c>
      <c r="H434" s="29"/>
    </row>
    <row r="435" ht="22.5" customHeight="1">
      <c r="A435" s="84" t="s">
        <v>2149</v>
      </c>
      <c r="B435" s="54">
        <v>6.2993201769E10</v>
      </c>
      <c r="C435" s="85" t="s">
        <v>230</v>
      </c>
      <c r="D435" s="54" t="s">
        <v>923</v>
      </c>
      <c r="E435" s="86" t="s">
        <v>2150</v>
      </c>
      <c r="F435" s="54" t="s">
        <v>151</v>
      </c>
      <c r="G435" s="55" t="s">
        <v>2151</v>
      </c>
      <c r="H435" s="29"/>
    </row>
    <row r="436" ht="22.5" customHeight="1">
      <c r="A436" s="81" t="s">
        <v>2152</v>
      </c>
      <c r="B436" s="54">
        <v>6.233212222E9</v>
      </c>
      <c r="C436" s="54" t="s">
        <v>230</v>
      </c>
      <c r="D436" s="54" t="s">
        <v>956</v>
      </c>
      <c r="E436" s="86" t="s">
        <v>2153</v>
      </c>
      <c r="F436" s="54" t="s">
        <v>151</v>
      </c>
      <c r="G436" s="55" t="s">
        <v>2154</v>
      </c>
      <c r="H436" s="29"/>
    </row>
    <row r="437" ht="22.5" customHeight="1">
      <c r="A437" s="81" t="s">
        <v>2155</v>
      </c>
      <c r="B437" s="54">
        <v>6.2994104344E10</v>
      </c>
      <c r="C437" s="54" t="s">
        <v>230</v>
      </c>
      <c r="D437" s="54" t="s">
        <v>956</v>
      </c>
      <c r="E437" s="86" t="s">
        <v>2156</v>
      </c>
      <c r="F437" s="54" t="s">
        <v>151</v>
      </c>
      <c r="G437" s="55" t="s">
        <v>2157</v>
      </c>
      <c r="H437" s="29"/>
    </row>
    <row r="438" ht="22.5" customHeight="1">
      <c r="A438" s="28" t="s">
        <v>2158</v>
      </c>
      <c r="B438" s="26">
        <v>6.233245266E9</v>
      </c>
      <c r="C438" s="26" t="s">
        <v>230</v>
      </c>
      <c r="D438" s="26" t="s">
        <v>956</v>
      </c>
      <c r="E438" s="27" t="s">
        <v>2159</v>
      </c>
      <c r="F438" s="26" t="s">
        <v>151</v>
      </c>
      <c r="G438" s="25" t="s">
        <v>2160</v>
      </c>
      <c r="H438" s="29"/>
    </row>
    <row r="439" ht="22.5" customHeight="1">
      <c r="A439" s="25" t="s">
        <v>2161</v>
      </c>
      <c r="B439" s="26">
        <v>5.56239430861E11</v>
      </c>
      <c r="C439" s="26" t="s">
        <v>230</v>
      </c>
      <c r="D439" s="26" t="s">
        <v>956</v>
      </c>
      <c r="E439" s="27" t="s">
        <v>2162</v>
      </c>
      <c r="F439" s="26" t="s">
        <v>151</v>
      </c>
      <c r="G439" s="25" t="s">
        <v>2163</v>
      </c>
      <c r="H439" s="29"/>
    </row>
    <row r="440" ht="22.5" customHeight="1">
      <c r="A440" s="28" t="s">
        <v>2164</v>
      </c>
      <c r="B440" s="26">
        <v>6.233185208E9</v>
      </c>
      <c r="C440" s="26" t="s">
        <v>230</v>
      </c>
      <c r="D440" s="26" t="s">
        <v>956</v>
      </c>
      <c r="E440" s="27" t="s">
        <v>2165</v>
      </c>
      <c r="F440" s="26" t="s">
        <v>2166</v>
      </c>
      <c r="G440" s="25" t="s">
        <v>2167</v>
      </c>
      <c r="H440" s="29"/>
    </row>
    <row r="441" ht="22.5" customHeight="1">
      <c r="A441" s="28" t="s">
        <v>2168</v>
      </c>
      <c r="B441" s="26">
        <v>6.230132222E9</v>
      </c>
      <c r="C441" s="26" t="s">
        <v>230</v>
      </c>
      <c r="D441" s="26" t="s">
        <v>956</v>
      </c>
      <c r="E441" s="27" t="s">
        <v>2169</v>
      </c>
      <c r="F441" s="26" t="s">
        <v>151</v>
      </c>
      <c r="G441" s="25" t="s">
        <v>2170</v>
      </c>
      <c r="H441" s="29"/>
    </row>
    <row r="442" ht="22.5" customHeight="1">
      <c r="A442" s="87"/>
      <c r="B442" s="29"/>
      <c r="C442" s="29"/>
      <c r="D442" s="29"/>
      <c r="E442" s="88"/>
      <c r="F442" s="29"/>
      <c r="G442" s="48"/>
      <c r="H442" s="29"/>
    </row>
    <row r="443" ht="22.5" customHeight="1">
      <c r="A443" s="87"/>
      <c r="B443" s="29"/>
      <c r="C443" s="29"/>
      <c r="D443" s="29"/>
      <c r="E443" s="88"/>
      <c r="F443" s="29"/>
      <c r="G443" s="48"/>
      <c r="H443" s="29"/>
    </row>
    <row r="444" ht="22.5" customHeight="1">
      <c r="A444" s="87"/>
      <c r="B444" s="29"/>
      <c r="C444" s="29"/>
      <c r="D444" s="29"/>
      <c r="E444" s="88"/>
      <c r="F444" s="29"/>
      <c r="G444" s="48"/>
      <c r="H444" s="29"/>
    </row>
    <row r="445" ht="22.5" customHeight="1">
      <c r="A445" s="87"/>
      <c r="B445" s="29"/>
      <c r="C445" s="29"/>
      <c r="D445" s="29"/>
      <c r="E445" s="88"/>
      <c r="F445" s="29"/>
      <c r="G445" s="48"/>
      <c r="H445" s="29"/>
    </row>
    <row r="446" ht="22.5" customHeight="1">
      <c r="A446" s="87"/>
      <c r="B446" s="29"/>
      <c r="C446" s="29"/>
      <c r="D446" s="29"/>
      <c r="E446" s="88"/>
      <c r="F446" s="29"/>
      <c r="G446" s="48"/>
      <c r="H446" s="29"/>
    </row>
    <row r="447" ht="22.5" customHeight="1">
      <c r="A447" s="87"/>
      <c r="B447" s="29"/>
      <c r="C447" s="29"/>
      <c r="D447" s="29"/>
      <c r="E447" s="88"/>
      <c r="F447" s="29"/>
      <c r="G447" s="48"/>
      <c r="H447" s="29"/>
    </row>
    <row r="448" ht="22.5" customHeight="1">
      <c r="A448" s="87"/>
      <c r="B448" s="29"/>
      <c r="C448" s="29"/>
      <c r="D448" s="29"/>
      <c r="E448" s="88"/>
      <c r="F448" s="29"/>
      <c r="G448" s="48"/>
      <c r="H448" s="29"/>
    </row>
    <row r="449" ht="22.5" customHeight="1">
      <c r="A449" s="87"/>
      <c r="B449" s="29"/>
      <c r="C449" s="29"/>
      <c r="D449" s="29"/>
      <c r="E449" s="88"/>
      <c r="F449" s="29"/>
      <c r="G449" s="48"/>
      <c r="H449" s="29"/>
    </row>
    <row r="450" ht="22.5" customHeight="1">
      <c r="A450" s="87"/>
      <c r="B450" s="29"/>
      <c r="C450" s="29"/>
      <c r="D450" s="29"/>
      <c r="E450" s="88"/>
      <c r="F450" s="29"/>
      <c r="G450" s="48"/>
      <c r="H450" s="29"/>
    </row>
    <row r="451" ht="15.75" customHeight="1">
      <c r="B451" s="65"/>
      <c r="C451" s="65"/>
      <c r="D451" s="65"/>
      <c r="E451" s="66"/>
      <c r="F451" s="65"/>
      <c r="G451" s="67"/>
      <c r="H451" s="63"/>
    </row>
    <row r="452" ht="15.75" customHeight="1">
      <c r="B452" s="65"/>
      <c r="C452" s="65"/>
      <c r="D452" s="65"/>
      <c r="E452" s="66"/>
      <c r="F452" s="65"/>
      <c r="G452" s="67"/>
      <c r="H452" s="63"/>
    </row>
    <row r="453" ht="15.75" customHeight="1">
      <c r="B453" s="65"/>
      <c r="C453" s="65"/>
      <c r="D453" s="65"/>
      <c r="E453" s="66"/>
      <c r="F453" s="65"/>
      <c r="G453" s="67"/>
      <c r="H453" s="63"/>
    </row>
    <row r="454" ht="15.75" customHeight="1">
      <c r="B454" s="65"/>
      <c r="C454" s="65"/>
      <c r="D454" s="65"/>
      <c r="E454" s="66"/>
      <c r="F454" s="65"/>
      <c r="G454" s="67"/>
      <c r="H454" s="63"/>
    </row>
    <row r="455" ht="15.75" customHeight="1">
      <c r="B455" s="65"/>
      <c r="C455" s="65"/>
      <c r="D455" s="65"/>
      <c r="E455" s="66"/>
      <c r="F455" s="65"/>
      <c r="G455" s="67"/>
      <c r="H455" s="63"/>
    </row>
    <row r="456" ht="15.75" customHeight="1">
      <c r="B456" s="65"/>
      <c r="C456" s="65"/>
      <c r="D456" s="65"/>
      <c r="E456" s="66"/>
      <c r="F456" s="65"/>
      <c r="G456" s="67"/>
      <c r="H456" s="63"/>
    </row>
    <row r="457" ht="15.75" customHeight="1">
      <c r="B457" s="65"/>
      <c r="C457" s="65"/>
      <c r="D457" s="65"/>
      <c r="E457" s="66"/>
      <c r="F457" s="65"/>
      <c r="G457" s="67"/>
      <c r="H457" s="63"/>
    </row>
    <row r="458" ht="15.75" customHeight="1">
      <c r="B458" s="65"/>
      <c r="C458" s="65"/>
      <c r="D458" s="65"/>
      <c r="E458" s="66"/>
      <c r="F458" s="65"/>
      <c r="G458" s="67"/>
      <c r="H458" s="63"/>
    </row>
    <row r="459" ht="15.75" customHeight="1">
      <c r="B459" s="65"/>
      <c r="C459" s="65"/>
      <c r="D459" s="65"/>
      <c r="E459" s="66"/>
      <c r="F459" s="65"/>
      <c r="G459" s="67"/>
      <c r="H459" s="63"/>
    </row>
    <row r="460" ht="15.75" customHeight="1">
      <c r="B460" s="65"/>
      <c r="C460" s="65"/>
      <c r="D460" s="65"/>
      <c r="E460" s="66"/>
      <c r="F460" s="65"/>
      <c r="G460" s="67"/>
      <c r="H460" s="63"/>
    </row>
    <row r="461" ht="15.75" customHeight="1">
      <c r="B461" s="65"/>
      <c r="C461" s="65"/>
      <c r="D461" s="65"/>
      <c r="E461" s="66"/>
      <c r="F461" s="65"/>
      <c r="G461" s="67"/>
      <c r="H461" s="63"/>
    </row>
    <row r="462" ht="15.75" customHeight="1">
      <c r="B462" s="65"/>
      <c r="C462" s="65"/>
      <c r="D462" s="65"/>
      <c r="E462" s="66"/>
      <c r="F462" s="65"/>
      <c r="G462" s="67"/>
      <c r="H462" s="63"/>
    </row>
    <row r="463" ht="15.75" customHeight="1">
      <c r="B463" s="65"/>
      <c r="C463" s="65"/>
      <c r="D463" s="65"/>
      <c r="E463" s="66"/>
      <c r="F463" s="65"/>
      <c r="G463" s="67"/>
      <c r="H463" s="63"/>
    </row>
    <row r="464" ht="15.75" customHeight="1">
      <c r="B464" s="65"/>
      <c r="C464" s="65"/>
      <c r="D464" s="65"/>
      <c r="E464" s="66"/>
      <c r="F464" s="65"/>
      <c r="G464" s="67"/>
      <c r="H464" s="63"/>
    </row>
    <row r="465" ht="15.75" customHeight="1">
      <c r="B465" s="65"/>
      <c r="C465" s="65"/>
      <c r="D465" s="65"/>
      <c r="E465" s="66"/>
      <c r="F465" s="65"/>
      <c r="G465" s="67"/>
      <c r="H465" s="63"/>
    </row>
    <row r="466" ht="15.75" customHeight="1">
      <c r="B466" s="65"/>
      <c r="C466" s="65"/>
      <c r="D466" s="65"/>
      <c r="E466" s="66"/>
      <c r="F466" s="65"/>
      <c r="G466" s="67"/>
      <c r="H466" s="63"/>
    </row>
    <row r="467" ht="15.75" customHeight="1">
      <c r="B467" s="65"/>
      <c r="C467" s="65"/>
      <c r="D467" s="65"/>
      <c r="E467" s="66"/>
      <c r="F467" s="65"/>
      <c r="G467" s="67"/>
      <c r="H467" s="63"/>
    </row>
    <row r="468" ht="15.75" customHeight="1">
      <c r="B468" s="65"/>
      <c r="C468" s="65"/>
      <c r="D468" s="65"/>
      <c r="E468" s="66"/>
      <c r="F468" s="65"/>
      <c r="G468" s="67"/>
      <c r="H468" s="63"/>
    </row>
    <row r="469" ht="15.75" customHeight="1">
      <c r="B469" s="65"/>
      <c r="C469" s="65"/>
      <c r="D469" s="65"/>
      <c r="E469" s="66"/>
      <c r="F469" s="65"/>
      <c r="G469" s="67"/>
      <c r="H469" s="63"/>
    </row>
    <row r="470" ht="15.75" customHeight="1">
      <c r="B470" s="65"/>
      <c r="C470" s="65"/>
      <c r="D470" s="65"/>
      <c r="E470" s="66"/>
      <c r="F470" s="65"/>
      <c r="G470" s="67"/>
      <c r="H470" s="63"/>
    </row>
    <row r="471" ht="15.75" customHeight="1">
      <c r="B471" s="65"/>
      <c r="C471" s="65"/>
      <c r="D471" s="65"/>
      <c r="E471" s="66"/>
      <c r="F471" s="65"/>
      <c r="G471" s="67"/>
      <c r="H471" s="63"/>
    </row>
    <row r="472" ht="15.75" customHeight="1">
      <c r="B472" s="65"/>
      <c r="C472" s="65"/>
      <c r="D472" s="65"/>
      <c r="E472" s="66"/>
      <c r="F472" s="65"/>
      <c r="G472" s="67"/>
      <c r="H472" s="63"/>
    </row>
    <row r="473" ht="15.75" customHeight="1">
      <c r="B473" s="65"/>
      <c r="C473" s="65"/>
      <c r="D473" s="65"/>
      <c r="E473" s="66"/>
      <c r="F473" s="65"/>
      <c r="G473" s="67"/>
      <c r="H473" s="63"/>
    </row>
    <row r="474" ht="15.75" customHeight="1">
      <c r="B474" s="65"/>
      <c r="C474" s="65"/>
      <c r="D474" s="65"/>
      <c r="E474" s="66"/>
      <c r="F474" s="65"/>
      <c r="G474" s="67"/>
      <c r="H474" s="63"/>
    </row>
    <row r="475" ht="15.75" customHeight="1">
      <c r="B475" s="65"/>
      <c r="C475" s="65"/>
      <c r="D475" s="65"/>
      <c r="E475" s="66"/>
      <c r="F475" s="65"/>
      <c r="G475" s="67"/>
      <c r="H475" s="63"/>
    </row>
    <row r="476" ht="15.75" customHeight="1">
      <c r="B476" s="65"/>
      <c r="C476" s="65"/>
      <c r="D476" s="65"/>
      <c r="E476" s="66"/>
      <c r="F476" s="65"/>
      <c r="G476" s="67"/>
      <c r="H476" s="63"/>
    </row>
    <row r="477" ht="15.75" customHeight="1">
      <c r="B477" s="65"/>
      <c r="C477" s="65"/>
      <c r="D477" s="65"/>
      <c r="E477" s="66"/>
      <c r="F477" s="65"/>
      <c r="G477" s="67"/>
      <c r="H477" s="63"/>
    </row>
    <row r="478" ht="15.75" customHeight="1">
      <c r="B478" s="65"/>
      <c r="C478" s="65"/>
      <c r="D478" s="65"/>
      <c r="E478" s="66"/>
      <c r="F478" s="65"/>
      <c r="G478" s="67"/>
      <c r="H478" s="63"/>
    </row>
    <row r="479" ht="15.75" customHeight="1">
      <c r="B479" s="65"/>
      <c r="C479" s="65"/>
      <c r="D479" s="65"/>
      <c r="E479" s="66"/>
      <c r="F479" s="65"/>
      <c r="G479" s="67"/>
      <c r="H479" s="63"/>
    </row>
    <row r="480" ht="15.75" customHeight="1">
      <c r="B480" s="65"/>
      <c r="C480" s="65"/>
      <c r="D480" s="65"/>
      <c r="E480" s="66"/>
      <c r="F480" s="65"/>
      <c r="G480" s="67"/>
      <c r="H480" s="63"/>
    </row>
    <row r="481" ht="15.75" customHeight="1">
      <c r="B481" s="65"/>
      <c r="C481" s="65"/>
      <c r="D481" s="65"/>
      <c r="E481" s="66"/>
      <c r="F481" s="65"/>
      <c r="G481" s="67"/>
      <c r="H481" s="63"/>
    </row>
    <row r="482" ht="15.75" customHeight="1">
      <c r="B482" s="65"/>
      <c r="C482" s="65"/>
      <c r="D482" s="65"/>
      <c r="E482" s="66"/>
      <c r="F482" s="65"/>
      <c r="G482" s="67"/>
      <c r="H482" s="63"/>
    </row>
    <row r="483" ht="15.75" customHeight="1">
      <c r="B483" s="65"/>
      <c r="C483" s="65"/>
      <c r="D483" s="65"/>
      <c r="E483" s="66"/>
      <c r="F483" s="65"/>
      <c r="G483" s="67"/>
      <c r="H483" s="63"/>
    </row>
    <row r="484" ht="15.75" customHeight="1">
      <c r="B484" s="65"/>
      <c r="C484" s="65"/>
      <c r="D484" s="65"/>
      <c r="E484" s="66"/>
      <c r="F484" s="65"/>
      <c r="G484" s="67"/>
      <c r="H484" s="63"/>
    </row>
    <row r="485" ht="15.75" customHeight="1">
      <c r="B485" s="65"/>
      <c r="C485" s="65"/>
      <c r="D485" s="65"/>
      <c r="E485" s="66"/>
      <c r="F485" s="65"/>
      <c r="G485" s="67"/>
      <c r="H485" s="63"/>
    </row>
    <row r="486" ht="15.75" customHeight="1">
      <c r="B486" s="65"/>
      <c r="C486" s="65"/>
      <c r="D486" s="65"/>
      <c r="E486" s="66"/>
      <c r="F486" s="65"/>
      <c r="G486" s="67"/>
      <c r="H486" s="63"/>
    </row>
    <row r="487" ht="15.75" customHeight="1">
      <c r="B487" s="65"/>
      <c r="C487" s="65"/>
      <c r="D487" s="65"/>
      <c r="E487" s="66"/>
      <c r="F487" s="65"/>
      <c r="G487" s="67"/>
      <c r="H487" s="63"/>
    </row>
    <row r="488" ht="15.75" customHeight="1">
      <c r="B488" s="65"/>
      <c r="C488" s="65"/>
      <c r="D488" s="65"/>
      <c r="E488" s="66"/>
      <c r="F488" s="65"/>
      <c r="G488" s="67"/>
      <c r="H488" s="63"/>
    </row>
    <row r="489" ht="15.75" customHeight="1">
      <c r="B489" s="65"/>
      <c r="C489" s="65"/>
      <c r="D489" s="65"/>
      <c r="E489" s="66"/>
      <c r="F489" s="65"/>
      <c r="G489" s="67"/>
      <c r="H489" s="63"/>
    </row>
    <row r="490" ht="15.75" customHeight="1">
      <c r="B490" s="65"/>
      <c r="C490" s="65"/>
      <c r="D490" s="65"/>
      <c r="E490" s="66"/>
      <c r="F490" s="65"/>
      <c r="G490" s="67"/>
      <c r="H490" s="63"/>
    </row>
    <row r="491" ht="15.75" customHeight="1">
      <c r="B491" s="65"/>
      <c r="C491" s="65"/>
      <c r="D491" s="65"/>
      <c r="E491" s="66"/>
      <c r="F491" s="65"/>
      <c r="G491" s="67"/>
      <c r="H491" s="63"/>
    </row>
    <row r="492" ht="15.75" customHeight="1">
      <c r="B492" s="65"/>
      <c r="C492" s="65"/>
      <c r="D492" s="65"/>
      <c r="E492" s="66"/>
      <c r="F492" s="65"/>
      <c r="G492" s="67"/>
      <c r="H492" s="63"/>
    </row>
    <row r="493" ht="15.75" customHeight="1">
      <c r="B493" s="65"/>
      <c r="C493" s="65"/>
      <c r="D493" s="65"/>
      <c r="E493" s="66"/>
      <c r="F493" s="65"/>
      <c r="G493" s="67"/>
      <c r="H493" s="63"/>
    </row>
    <row r="494" ht="15.75" customHeight="1">
      <c r="B494" s="65"/>
      <c r="C494" s="65"/>
      <c r="D494" s="65"/>
      <c r="E494" s="66"/>
      <c r="F494" s="65"/>
      <c r="G494" s="67"/>
      <c r="H494" s="63"/>
    </row>
    <row r="495" ht="15.75" customHeight="1">
      <c r="B495" s="65"/>
      <c r="C495" s="65"/>
      <c r="D495" s="65"/>
      <c r="E495" s="66"/>
      <c r="F495" s="65"/>
      <c r="G495" s="67"/>
      <c r="H495" s="63"/>
    </row>
    <row r="496" ht="15.75" customHeight="1">
      <c r="B496" s="65"/>
      <c r="C496" s="65"/>
      <c r="D496" s="65"/>
      <c r="E496" s="66"/>
      <c r="F496" s="65"/>
      <c r="G496" s="67"/>
      <c r="H496" s="63"/>
    </row>
    <row r="497" ht="15.75" customHeight="1">
      <c r="B497" s="65"/>
      <c r="C497" s="65"/>
      <c r="D497" s="65"/>
      <c r="E497" s="66"/>
      <c r="F497" s="65"/>
      <c r="G497" s="67"/>
      <c r="H497" s="63"/>
    </row>
    <row r="498" ht="15.75" customHeight="1">
      <c r="B498" s="65"/>
      <c r="C498" s="65"/>
      <c r="D498" s="65"/>
      <c r="E498" s="66"/>
      <c r="F498" s="65"/>
      <c r="G498" s="67"/>
      <c r="H498" s="63"/>
    </row>
    <row r="499" ht="15.75" customHeight="1">
      <c r="B499" s="65"/>
      <c r="C499" s="65"/>
      <c r="D499" s="65"/>
      <c r="E499" s="66"/>
      <c r="F499" s="65"/>
      <c r="G499" s="67"/>
      <c r="H499" s="63"/>
    </row>
    <row r="500" ht="15.75" customHeight="1">
      <c r="B500" s="65"/>
      <c r="C500" s="65"/>
      <c r="D500" s="65"/>
      <c r="E500" s="66"/>
      <c r="F500" s="65"/>
      <c r="G500" s="67"/>
      <c r="H500" s="63"/>
    </row>
    <row r="501" ht="15.75" customHeight="1">
      <c r="B501" s="65"/>
      <c r="C501" s="65"/>
      <c r="D501" s="65"/>
      <c r="E501" s="66"/>
      <c r="F501" s="65"/>
      <c r="G501" s="67"/>
      <c r="H501" s="63"/>
    </row>
    <row r="502" ht="15.75" customHeight="1">
      <c r="B502" s="65"/>
      <c r="C502" s="65"/>
      <c r="D502" s="65"/>
      <c r="E502" s="66"/>
      <c r="F502" s="65"/>
      <c r="G502" s="67"/>
      <c r="H502" s="63"/>
    </row>
    <row r="503" ht="15.75" customHeight="1">
      <c r="B503" s="65"/>
      <c r="C503" s="65"/>
      <c r="D503" s="65"/>
      <c r="E503" s="66"/>
      <c r="F503" s="65"/>
      <c r="G503" s="67"/>
      <c r="H503" s="63"/>
    </row>
    <row r="504" ht="15.75" customHeight="1">
      <c r="B504" s="65"/>
      <c r="C504" s="65"/>
      <c r="D504" s="65"/>
      <c r="E504" s="66"/>
      <c r="F504" s="65"/>
      <c r="G504" s="67"/>
      <c r="H504" s="63"/>
    </row>
    <row r="505" ht="15.75" customHeight="1">
      <c r="B505" s="65"/>
      <c r="C505" s="65"/>
      <c r="D505" s="65"/>
      <c r="E505" s="66"/>
      <c r="F505" s="65"/>
      <c r="G505" s="67"/>
      <c r="H505" s="63"/>
    </row>
    <row r="506" ht="15.75" customHeight="1">
      <c r="B506" s="65"/>
      <c r="C506" s="65"/>
      <c r="D506" s="65"/>
      <c r="E506" s="66"/>
      <c r="F506" s="65"/>
      <c r="G506" s="67"/>
      <c r="H506" s="63"/>
    </row>
    <row r="507" ht="15.75" customHeight="1">
      <c r="B507" s="65"/>
      <c r="C507" s="65"/>
      <c r="D507" s="65"/>
      <c r="E507" s="66"/>
      <c r="F507" s="65"/>
      <c r="G507" s="67"/>
      <c r="H507" s="63"/>
    </row>
    <row r="508" ht="15.75" customHeight="1">
      <c r="B508" s="65"/>
      <c r="C508" s="65"/>
      <c r="D508" s="65"/>
      <c r="E508" s="66"/>
      <c r="F508" s="65"/>
      <c r="G508" s="67"/>
      <c r="H508" s="63"/>
    </row>
    <row r="509" ht="15.75" customHeight="1">
      <c r="B509" s="65"/>
      <c r="C509" s="65"/>
      <c r="D509" s="65"/>
      <c r="E509" s="66"/>
      <c r="F509" s="65"/>
      <c r="G509" s="67"/>
      <c r="H509" s="63"/>
    </row>
    <row r="510" ht="15.75" customHeight="1">
      <c r="B510" s="65"/>
      <c r="C510" s="65"/>
      <c r="D510" s="65"/>
      <c r="E510" s="66"/>
      <c r="F510" s="65"/>
      <c r="G510" s="67"/>
      <c r="H510" s="63"/>
    </row>
    <row r="511" ht="15.75" customHeight="1">
      <c r="B511" s="65"/>
      <c r="C511" s="65"/>
      <c r="D511" s="65"/>
      <c r="E511" s="66"/>
      <c r="F511" s="65"/>
      <c r="G511" s="67"/>
      <c r="H511" s="63"/>
    </row>
    <row r="512" ht="15.75" customHeight="1">
      <c r="B512" s="65"/>
      <c r="C512" s="65"/>
      <c r="D512" s="65"/>
      <c r="E512" s="66"/>
      <c r="F512" s="65"/>
      <c r="G512" s="67"/>
      <c r="H512" s="63"/>
    </row>
    <row r="513" ht="15.75" customHeight="1">
      <c r="B513" s="65"/>
      <c r="C513" s="65"/>
      <c r="D513" s="65"/>
      <c r="E513" s="66"/>
      <c r="F513" s="65"/>
      <c r="G513" s="67"/>
      <c r="H513" s="63"/>
    </row>
    <row r="514" ht="15.75" customHeight="1">
      <c r="B514" s="65"/>
      <c r="C514" s="65"/>
      <c r="D514" s="65"/>
      <c r="E514" s="66"/>
      <c r="F514" s="65"/>
      <c r="G514" s="67"/>
      <c r="H514" s="63"/>
    </row>
    <row r="515" ht="15.75" customHeight="1">
      <c r="B515" s="65"/>
      <c r="C515" s="65"/>
      <c r="D515" s="65"/>
      <c r="E515" s="66"/>
      <c r="F515" s="65"/>
      <c r="G515" s="67"/>
      <c r="H515" s="63"/>
    </row>
    <row r="516" ht="15.75" customHeight="1">
      <c r="B516" s="65"/>
      <c r="C516" s="65"/>
      <c r="D516" s="65"/>
      <c r="E516" s="66"/>
      <c r="F516" s="65"/>
      <c r="G516" s="67"/>
      <c r="H516" s="63"/>
    </row>
    <row r="517" ht="15.75" customHeight="1">
      <c r="B517" s="65"/>
      <c r="C517" s="65"/>
      <c r="D517" s="65"/>
      <c r="E517" s="66"/>
      <c r="F517" s="65"/>
      <c r="G517" s="67"/>
      <c r="H517" s="63"/>
    </row>
    <row r="518" ht="15.75" customHeight="1">
      <c r="B518" s="65"/>
      <c r="C518" s="65"/>
      <c r="D518" s="65"/>
      <c r="E518" s="66"/>
      <c r="F518" s="65"/>
      <c r="G518" s="67"/>
      <c r="H518" s="63"/>
    </row>
    <row r="519" ht="15.75" customHeight="1">
      <c r="B519" s="65"/>
      <c r="C519" s="65"/>
      <c r="D519" s="65"/>
      <c r="E519" s="66"/>
      <c r="F519" s="65"/>
      <c r="G519" s="67"/>
      <c r="H519" s="63"/>
    </row>
    <row r="520" ht="15.75" customHeight="1">
      <c r="B520" s="65"/>
      <c r="C520" s="65"/>
      <c r="D520" s="65"/>
      <c r="E520" s="66"/>
      <c r="F520" s="65"/>
      <c r="G520" s="67"/>
      <c r="H520" s="63"/>
    </row>
    <row r="521" ht="15.75" customHeight="1">
      <c r="B521" s="65"/>
      <c r="C521" s="65"/>
      <c r="D521" s="65"/>
      <c r="E521" s="66"/>
      <c r="F521" s="65"/>
      <c r="G521" s="67"/>
      <c r="H521" s="63"/>
    </row>
    <row r="522" ht="15.75" customHeight="1">
      <c r="B522" s="65"/>
      <c r="C522" s="65"/>
      <c r="D522" s="65"/>
      <c r="E522" s="66"/>
      <c r="F522" s="65"/>
      <c r="G522" s="67"/>
      <c r="H522" s="63"/>
    </row>
    <row r="523" ht="15.75" customHeight="1">
      <c r="B523" s="65"/>
      <c r="C523" s="65"/>
      <c r="D523" s="65"/>
      <c r="E523" s="66"/>
      <c r="F523" s="65"/>
      <c r="G523" s="67"/>
      <c r="H523" s="63"/>
    </row>
    <row r="524" ht="15.75" customHeight="1">
      <c r="B524" s="65"/>
      <c r="C524" s="65"/>
      <c r="D524" s="65"/>
      <c r="E524" s="66"/>
      <c r="F524" s="65"/>
      <c r="G524" s="67"/>
      <c r="H524" s="63"/>
    </row>
    <row r="525" ht="15.75" customHeight="1">
      <c r="B525" s="65"/>
      <c r="C525" s="65"/>
      <c r="D525" s="65"/>
      <c r="E525" s="66"/>
      <c r="F525" s="65"/>
      <c r="G525" s="67"/>
      <c r="H525" s="63"/>
    </row>
    <row r="526" ht="15.75" customHeight="1">
      <c r="B526" s="65"/>
      <c r="C526" s="65"/>
      <c r="D526" s="65"/>
      <c r="E526" s="66"/>
      <c r="F526" s="65"/>
      <c r="G526" s="67"/>
      <c r="H526" s="63"/>
    </row>
    <row r="527" ht="15.75" customHeight="1">
      <c r="B527" s="65"/>
      <c r="C527" s="65"/>
      <c r="D527" s="65"/>
      <c r="E527" s="66"/>
      <c r="F527" s="65"/>
      <c r="G527" s="67"/>
      <c r="H527" s="63"/>
    </row>
    <row r="528" ht="15.75" customHeight="1">
      <c r="B528" s="65"/>
      <c r="C528" s="65"/>
      <c r="D528" s="65"/>
      <c r="E528" s="66"/>
      <c r="F528" s="65"/>
      <c r="G528" s="67"/>
      <c r="H528" s="63"/>
    </row>
    <row r="529" ht="15.75" customHeight="1">
      <c r="B529" s="65"/>
      <c r="C529" s="65"/>
      <c r="D529" s="65"/>
      <c r="E529" s="66"/>
      <c r="F529" s="65"/>
      <c r="G529" s="67"/>
      <c r="H529" s="63"/>
    </row>
    <row r="530" ht="15.75" customHeight="1">
      <c r="B530" s="65"/>
      <c r="C530" s="65"/>
      <c r="D530" s="65"/>
      <c r="E530" s="66"/>
      <c r="F530" s="65"/>
      <c r="G530" s="67"/>
      <c r="H530" s="63"/>
    </row>
    <row r="531" ht="15.75" customHeight="1">
      <c r="B531" s="65"/>
      <c r="C531" s="65"/>
      <c r="D531" s="65"/>
      <c r="E531" s="66"/>
      <c r="F531" s="65"/>
      <c r="G531" s="67"/>
      <c r="H531" s="63"/>
    </row>
    <row r="532" ht="15.75" customHeight="1">
      <c r="B532" s="65"/>
      <c r="C532" s="65"/>
      <c r="D532" s="65"/>
      <c r="E532" s="66"/>
      <c r="F532" s="65"/>
      <c r="G532" s="67"/>
      <c r="H532" s="63"/>
    </row>
    <row r="533" ht="15.75" customHeight="1">
      <c r="B533" s="65"/>
      <c r="C533" s="65"/>
      <c r="D533" s="65"/>
      <c r="E533" s="66"/>
      <c r="F533" s="65"/>
      <c r="G533" s="67"/>
      <c r="H533" s="63"/>
    </row>
    <row r="534" ht="15.75" customHeight="1">
      <c r="B534" s="65"/>
      <c r="C534" s="65"/>
      <c r="D534" s="65"/>
      <c r="E534" s="66"/>
      <c r="F534" s="65"/>
      <c r="G534" s="67"/>
      <c r="H534" s="63"/>
    </row>
    <row r="535" ht="15.75" customHeight="1">
      <c r="B535" s="65"/>
      <c r="C535" s="65"/>
      <c r="D535" s="65"/>
      <c r="E535" s="66"/>
      <c r="F535" s="65"/>
      <c r="G535" s="67"/>
      <c r="H535" s="63"/>
    </row>
    <row r="536" ht="15.75" customHeight="1">
      <c r="B536" s="65"/>
      <c r="C536" s="65"/>
      <c r="D536" s="65"/>
      <c r="E536" s="66"/>
      <c r="F536" s="65"/>
      <c r="G536" s="67"/>
      <c r="H536" s="63"/>
    </row>
    <row r="537" ht="15.75" customHeight="1">
      <c r="B537" s="65"/>
      <c r="C537" s="65"/>
      <c r="D537" s="65"/>
      <c r="E537" s="66"/>
      <c r="F537" s="65"/>
      <c r="G537" s="67"/>
      <c r="H537" s="63"/>
    </row>
    <row r="538" ht="15.75" customHeight="1">
      <c r="B538" s="65"/>
      <c r="C538" s="65"/>
      <c r="D538" s="65"/>
      <c r="E538" s="66"/>
      <c r="F538" s="65"/>
      <c r="G538" s="67"/>
      <c r="H538" s="63"/>
    </row>
    <row r="539" ht="15.75" customHeight="1">
      <c r="B539" s="65"/>
      <c r="C539" s="65"/>
      <c r="D539" s="65"/>
      <c r="E539" s="66"/>
      <c r="F539" s="65"/>
      <c r="G539" s="67"/>
      <c r="H539" s="63"/>
    </row>
    <row r="540" ht="15.75" customHeight="1">
      <c r="B540" s="65"/>
      <c r="C540" s="65"/>
      <c r="D540" s="65"/>
      <c r="E540" s="66"/>
      <c r="F540" s="65"/>
      <c r="G540" s="67"/>
      <c r="H540" s="63"/>
    </row>
    <row r="541" ht="15.75" customHeight="1">
      <c r="B541" s="65"/>
      <c r="C541" s="65"/>
      <c r="D541" s="65"/>
      <c r="E541" s="66"/>
      <c r="F541" s="65"/>
      <c r="G541" s="67"/>
      <c r="H541" s="63"/>
    </row>
    <row r="542" ht="15.75" customHeight="1">
      <c r="B542" s="65"/>
      <c r="C542" s="65"/>
      <c r="D542" s="65"/>
      <c r="E542" s="66"/>
      <c r="F542" s="65"/>
      <c r="G542" s="67"/>
      <c r="H542" s="63"/>
    </row>
    <row r="543" ht="15.75" customHeight="1">
      <c r="B543" s="65"/>
      <c r="C543" s="65"/>
      <c r="D543" s="65"/>
      <c r="E543" s="66"/>
      <c r="F543" s="65"/>
      <c r="G543" s="67"/>
      <c r="H543" s="63"/>
    </row>
    <row r="544" ht="15.75" customHeight="1">
      <c r="B544" s="65"/>
      <c r="C544" s="65"/>
      <c r="D544" s="65"/>
      <c r="E544" s="66"/>
      <c r="F544" s="65"/>
      <c r="G544" s="67"/>
      <c r="H544" s="63"/>
    </row>
    <row r="545" ht="15.75" customHeight="1">
      <c r="B545" s="65"/>
      <c r="C545" s="65"/>
      <c r="D545" s="65"/>
      <c r="E545" s="66"/>
      <c r="F545" s="65"/>
      <c r="G545" s="67"/>
      <c r="H545" s="63"/>
    </row>
    <row r="546" ht="15.75" customHeight="1">
      <c r="B546" s="65"/>
      <c r="C546" s="65"/>
      <c r="D546" s="65"/>
      <c r="E546" s="66"/>
      <c r="F546" s="65"/>
      <c r="G546" s="67"/>
      <c r="H546" s="63"/>
    </row>
    <row r="547" ht="15.75" customHeight="1">
      <c r="B547" s="65"/>
      <c r="C547" s="65"/>
      <c r="D547" s="65"/>
      <c r="E547" s="66"/>
      <c r="F547" s="65"/>
      <c r="G547" s="67"/>
      <c r="H547" s="63"/>
    </row>
    <row r="548" ht="15.75" customHeight="1">
      <c r="B548" s="65"/>
      <c r="C548" s="65"/>
      <c r="D548" s="65"/>
      <c r="E548" s="66"/>
      <c r="F548" s="65"/>
      <c r="G548" s="67"/>
      <c r="H548" s="63"/>
    </row>
    <row r="549" ht="15.75" customHeight="1">
      <c r="B549" s="65"/>
      <c r="C549" s="65"/>
      <c r="D549" s="65"/>
      <c r="E549" s="66"/>
      <c r="F549" s="65"/>
      <c r="G549" s="67"/>
      <c r="H549" s="63"/>
    </row>
    <row r="550" ht="15.75" customHeight="1">
      <c r="B550" s="65"/>
      <c r="C550" s="65"/>
      <c r="D550" s="65"/>
      <c r="E550" s="66"/>
      <c r="F550" s="65"/>
      <c r="G550" s="67"/>
      <c r="H550" s="63"/>
    </row>
    <row r="551" ht="15.75" customHeight="1">
      <c r="B551" s="65"/>
      <c r="C551" s="65"/>
      <c r="D551" s="65"/>
      <c r="E551" s="66"/>
      <c r="F551" s="65"/>
      <c r="G551" s="67"/>
      <c r="H551" s="63"/>
    </row>
    <row r="552" ht="15.75" customHeight="1">
      <c r="B552" s="65"/>
      <c r="C552" s="65"/>
      <c r="D552" s="65"/>
      <c r="E552" s="66"/>
      <c r="F552" s="65"/>
      <c r="G552" s="67"/>
      <c r="H552" s="63"/>
    </row>
    <row r="553" ht="15.75" customHeight="1">
      <c r="B553" s="65"/>
      <c r="C553" s="65"/>
      <c r="D553" s="65"/>
      <c r="E553" s="66"/>
      <c r="F553" s="65"/>
      <c r="G553" s="67"/>
      <c r="H553" s="63"/>
    </row>
    <row r="554" ht="15.75" customHeight="1">
      <c r="B554" s="65"/>
      <c r="C554" s="65"/>
      <c r="D554" s="65"/>
      <c r="E554" s="66"/>
      <c r="F554" s="65"/>
      <c r="G554" s="67"/>
      <c r="H554" s="63"/>
    </row>
    <row r="555" ht="15.75" customHeight="1">
      <c r="B555" s="65"/>
      <c r="C555" s="65"/>
      <c r="D555" s="65"/>
      <c r="E555" s="66"/>
      <c r="F555" s="65"/>
      <c r="G555" s="67"/>
      <c r="H555" s="63"/>
    </row>
    <row r="556" ht="15.75" customHeight="1">
      <c r="B556" s="65"/>
      <c r="C556" s="65"/>
      <c r="D556" s="65"/>
      <c r="E556" s="66"/>
      <c r="F556" s="65"/>
      <c r="G556" s="67"/>
      <c r="H556" s="63"/>
    </row>
    <row r="557" ht="15.75" customHeight="1">
      <c r="B557" s="65"/>
      <c r="C557" s="65"/>
      <c r="D557" s="65"/>
      <c r="E557" s="66"/>
      <c r="F557" s="65"/>
      <c r="G557" s="67"/>
      <c r="H557" s="63"/>
    </row>
    <row r="558" ht="15.75" customHeight="1">
      <c r="B558" s="65"/>
      <c r="C558" s="65"/>
      <c r="D558" s="65"/>
      <c r="E558" s="66"/>
      <c r="F558" s="65"/>
      <c r="G558" s="67"/>
      <c r="H558" s="63"/>
    </row>
    <row r="559" ht="15.75" customHeight="1">
      <c r="B559" s="65"/>
      <c r="C559" s="65"/>
      <c r="D559" s="65"/>
      <c r="E559" s="66"/>
      <c r="F559" s="65"/>
      <c r="G559" s="67"/>
      <c r="H559" s="63"/>
    </row>
    <row r="560" ht="15.75" customHeight="1">
      <c r="B560" s="65"/>
      <c r="C560" s="65"/>
      <c r="D560" s="65"/>
      <c r="E560" s="66"/>
      <c r="F560" s="65"/>
      <c r="G560" s="67"/>
      <c r="H560" s="63"/>
    </row>
    <row r="561" ht="15.75" customHeight="1">
      <c r="B561" s="65"/>
      <c r="C561" s="65"/>
      <c r="D561" s="65"/>
      <c r="E561" s="66"/>
      <c r="F561" s="65"/>
      <c r="G561" s="67"/>
      <c r="H561" s="63"/>
    </row>
    <row r="562" ht="15.75" customHeight="1">
      <c r="B562" s="65"/>
      <c r="C562" s="65"/>
      <c r="D562" s="65"/>
      <c r="E562" s="66"/>
      <c r="F562" s="65"/>
      <c r="G562" s="67"/>
      <c r="H562" s="63"/>
    </row>
    <row r="563" ht="15.75" customHeight="1">
      <c r="B563" s="65"/>
      <c r="C563" s="65"/>
      <c r="D563" s="65"/>
      <c r="E563" s="66"/>
      <c r="F563" s="65"/>
      <c r="G563" s="67"/>
      <c r="H563" s="63"/>
    </row>
    <row r="564" ht="15.75" customHeight="1">
      <c r="B564" s="65"/>
      <c r="C564" s="65"/>
      <c r="D564" s="65"/>
      <c r="E564" s="66"/>
      <c r="F564" s="65"/>
      <c r="G564" s="67"/>
      <c r="H564" s="63"/>
    </row>
    <row r="565" ht="15.75" customHeight="1">
      <c r="B565" s="65"/>
      <c r="C565" s="65"/>
      <c r="D565" s="65"/>
      <c r="E565" s="66"/>
      <c r="F565" s="65"/>
      <c r="G565" s="67"/>
      <c r="H565" s="63"/>
    </row>
    <row r="566" ht="15.75" customHeight="1">
      <c r="B566" s="65"/>
      <c r="C566" s="65"/>
      <c r="D566" s="65"/>
      <c r="E566" s="66"/>
      <c r="F566" s="65"/>
      <c r="G566" s="67"/>
      <c r="H566" s="63"/>
    </row>
    <row r="567" ht="15.75" customHeight="1">
      <c r="B567" s="65"/>
      <c r="C567" s="65"/>
      <c r="D567" s="65"/>
      <c r="E567" s="66"/>
      <c r="F567" s="65"/>
      <c r="G567" s="67"/>
      <c r="H567" s="63"/>
    </row>
    <row r="568" ht="15.75" customHeight="1">
      <c r="B568" s="65"/>
      <c r="C568" s="65"/>
      <c r="D568" s="65"/>
      <c r="E568" s="66"/>
      <c r="F568" s="65"/>
      <c r="G568" s="67"/>
      <c r="H568" s="63"/>
    </row>
    <row r="569" ht="15.75" customHeight="1">
      <c r="B569" s="65"/>
      <c r="C569" s="65"/>
      <c r="D569" s="65"/>
      <c r="E569" s="66"/>
      <c r="F569" s="65"/>
      <c r="G569" s="67"/>
      <c r="H569" s="63"/>
    </row>
    <row r="570" ht="15.75" customHeight="1">
      <c r="B570" s="65"/>
      <c r="C570" s="65"/>
      <c r="D570" s="65"/>
      <c r="E570" s="66"/>
      <c r="F570" s="65"/>
      <c r="G570" s="67"/>
      <c r="H570" s="63"/>
    </row>
    <row r="571" ht="15.75" customHeight="1">
      <c r="B571" s="65"/>
      <c r="C571" s="65"/>
      <c r="D571" s="65"/>
      <c r="E571" s="66"/>
      <c r="F571" s="65"/>
      <c r="G571" s="67"/>
      <c r="H571" s="63"/>
    </row>
    <row r="572" ht="15.75" customHeight="1">
      <c r="B572" s="65"/>
      <c r="C572" s="65"/>
      <c r="D572" s="65"/>
      <c r="E572" s="66"/>
      <c r="F572" s="65"/>
      <c r="G572" s="67"/>
      <c r="H572" s="63"/>
    </row>
    <row r="573" ht="15.75" customHeight="1">
      <c r="B573" s="65"/>
      <c r="C573" s="65"/>
      <c r="D573" s="65"/>
      <c r="E573" s="66"/>
      <c r="F573" s="65"/>
      <c r="G573" s="67"/>
      <c r="H573" s="63"/>
    </row>
    <row r="574" ht="15.75" customHeight="1">
      <c r="B574" s="65"/>
      <c r="C574" s="65"/>
      <c r="D574" s="65"/>
      <c r="E574" s="66"/>
      <c r="F574" s="65"/>
      <c r="G574" s="67"/>
      <c r="H574" s="63"/>
    </row>
    <row r="575" ht="15.75" customHeight="1">
      <c r="B575" s="65"/>
      <c r="C575" s="65"/>
      <c r="D575" s="65"/>
      <c r="E575" s="66"/>
      <c r="F575" s="65"/>
      <c r="G575" s="67"/>
      <c r="H575" s="63"/>
    </row>
    <row r="576" ht="15.75" customHeight="1">
      <c r="B576" s="65"/>
      <c r="C576" s="65"/>
      <c r="D576" s="65"/>
      <c r="E576" s="66"/>
      <c r="F576" s="65"/>
      <c r="G576" s="67"/>
      <c r="H576" s="63"/>
    </row>
    <row r="577" ht="15.75" customHeight="1">
      <c r="B577" s="65"/>
      <c r="C577" s="65"/>
      <c r="D577" s="65"/>
      <c r="E577" s="66"/>
      <c r="F577" s="65"/>
      <c r="G577" s="67"/>
      <c r="H577" s="63"/>
    </row>
    <row r="578" ht="15.75" customHeight="1">
      <c r="B578" s="65"/>
      <c r="C578" s="65"/>
      <c r="D578" s="65"/>
      <c r="E578" s="66"/>
      <c r="F578" s="65"/>
      <c r="G578" s="67"/>
      <c r="H578" s="63"/>
    </row>
    <row r="579" ht="15.75" customHeight="1">
      <c r="B579" s="65"/>
      <c r="C579" s="65"/>
      <c r="D579" s="65"/>
      <c r="E579" s="66"/>
      <c r="F579" s="65"/>
      <c r="G579" s="67"/>
      <c r="H579" s="63"/>
    </row>
    <row r="580" ht="15.75" customHeight="1">
      <c r="B580" s="65"/>
      <c r="C580" s="65"/>
      <c r="D580" s="65"/>
      <c r="E580" s="66"/>
      <c r="F580" s="65"/>
      <c r="G580" s="67"/>
      <c r="H580" s="63"/>
    </row>
    <row r="581" ht="15.75" customHeight="1">
      <c r="B581" s="65"/>
      <c r="C581" s="65"/>
      <c r="D581" s="65"/>
      <c r="E581" s="66"/>
      <c r="F581" s="65"/>
      <c r="G581" s="67"/>
      <c r="H581" s="63"/>
    </row>
    <row r="582" ht="15.75" customHeight="1">
      <c r="B582" s="65"/>
      <c r="C582" s="65"/>
      <c r="D582" s="65"/>
      <c r="E582" s="66"/>
      <c r="F582" s="65"/>
      <c r="G582" s="67"/>
      <c r="H582" s="63"/>
    </row>
    <row r="583" ht="15.75" customHeight="1">
      <c r="B583" s="65"/>
      <c r="C583" s="65"/>
      <c r="D583" s="65"/>
      <c r="E583" s="66"/>
      <c r="F583" s="65"/>
      <c r="G583" s="67"/>
      <c r="H583" s="63"/>
    </row>
    <row r="584" ht="15.75" customHeight="1">
      <c r="B584" s="65"/>
      <c r="C584" s="65"/>
      <c r="D584" s="65"/>
      <c r="E584" s="66"/>
      <c r="F584" s="65"/>
      <c r="G584" s="67"/>
      <c r="H584" s="63"/>
    </row>
    <row r="585" ht="15.75" customHeight="1">
      <c r="B585" s="65"/>
      <c r="C585" s="65"/>
      <c r="D585" s="65"/>
      <c r="E585" s="66"/>
      <c r="F585" s="65"/>
      <c r="G585" s="67"/>
      <c r="H585" s="63"/>
    </row>
    <row r="586" ht="15.75" customHeight="1">
      <c r="B586" s="65"/>
      <c r="C586" s="65"/>
      <c r="D586" s="65"/>
      <c r="E586" s="66"/>
      <c r="F586" s="65"/>
      <c r="G586" s="67"/>
      <c r="H586" s="63"/>
    </row>
    <row r="587" ht="15.75" customHeight="1">
      <c r="B587" s="65"/>
      <c r="C587" s="65"/>
      <c r="D587" s="65"/>
      <c r="E587" s="66"/>
      <c r="F587" s="65"/>
      <c r="G587" s="67"/>
      <c r="H587" s="63"/>
    </row>
    <row r="588" ht="15.75" customHeight="1">
      <c r="B588" s="65"/>
      <c r="C588" s="65"/>
      <c r="D588" s="65"/>
      <c r="E588" s="66"/>
      <c r="F588" s="65"/>
      <c r="G588" s="67"/>
      <c r="H588" s="63"/>
    </row>
    <row r="589" ht="15.75" customHeight="1">
      <c r="B589" s="65"/>
      <c r="C589" s="65"/>
      <c r="D589" s="65"/>
      <c r="E589" s="66"/>
      <c r="F589" s="65"/>
      <c r="G589" s="67"/>
      <c r="H589" s="63"/>
    </row>
    <row r="590" ht="15.75" customHeight="1">
      <c r="B590" s="65"/>
      <c r="C590" s="65"/>
      <c r="D590" s="65"/>
      <c r="E590" s="66"/>
      <c r="F590" s="65"/>
      <c r="G590" s="67"/>
      <c r="H590" s="63"/>
    </row>
    <row r="591" ht="15.75" customHeight="1">
      <c r="B591" s="65"/>
      <c r="C591" s="65"/>
      <c r="D591" s="65"/>
      <c r="E591" s="66"/>
      <c r="F591" s="65"/>
      <c r="G591" s="67"/>
      <c r="H591" s="63"/>
    </row>
    <row r="592" ht="15.75" customHeight="1">
      <c r="B592" s="65"/>
      <c r="C592" s="65"/>
      <c r="D592" s="65"/>
      <c r="E592" s="66"/>
      <c r="F592" s="65"/>
      <c r="G592" s="67"/>
      <c r="H592" s="63"/>
    </row>
    <row r="593" ht="15.75" customHeight="1">
      <c r="B593" s="65"/>
      <c r="C593" s="65"/>
      <c r="D593" s="65"/>
      <c r="E593" s="66"/>
      <c r="F593" s="65"/>
      <c r="G593" s="67"/>
      <c r="H593" s="63"/>
    </row>
    <row r="594" ht="15.75" customHeight="1">
      <c r="B594" s="65"/>
      <c r="C594" s="65"/>
      <c r="D594" s="65"/>
      <c r="E594" s="66"/>
      <c r="F594" s="65"/>
      <c r="G594" s="67"/>
      <c r="H594" s="63"/>
    </row>
    <row r="595" ht="15.75" customHeight="1">
      <c r="B595" s="65"/>
      <c r="C595" s="65"/>
      <c r="D595" s="65"/>
      <c r="E595" s="66"/>
      <c r="F595" s="65"/>
      <c r="G595" s="67"/>
      <c r="H595" s="63"/>
    </row>
    <row r="596" ht="15.75" customHeight="1">
      <c r="B596" s="65"/>
      <c r="C596" s="65"/>
      <c r="D596" s="65"/>
      <c r="E596" s="66"/>
      <c r="F596" s="65"/>
      <c r="G596" s="67"/>
      <c r="H596" s="63"/>
    </row>
    <row r="597" ht="15.75" customHeight="1">
      <c r="B597" s="65"/>
      <c r="C597" s="65"/>
      <c r="D597" s="65"/>
      <c r="E597" s="66"/>
      <c r="F597" s="65"/>
      <c r="G597" s="67"/>
      <c r="H597" s="63"/>
    </row>
    <row r="598" ht="15.75" customHeight="1">
      <c r="B598" s="65"/>
      <c r="C598" s="65"/>
      <c r="D598" s="65"/>
      <c r="E598" s="66"/>
      <c r="F598" s="65"/>
      <c r="G598" s="67"/>
      <c r="H598" s="63"/>
    </row>
    <row r="599" ht="15.75" customHeight="1">
      <c r="B599" s="65"/>
      <c r="C599" s="65"/>
      <c r="D599" s="65"/>
      <c r="E599" s="66"/>
      <c r="F599" s="65"/>
      <c r="G599" s="67"/>
      <c r="H599" s="63"/>
    </row>
    <row r="600" ht="15.75" customHeight="1">
      <c r="B600" s="65"/>
      <c r="C600" s="65"/>
      <c r="D600" s="65"/>
      <c r="E600" s="66"/>
      <c r="F600" s="65"/>
      <c r="G600" s="67"/>
      <c r="H600" s="63"/>
    </row>
    <row r="601" ht="15.75" customHeight="1">
      <c r="B601" s="65"/>
      <c r="C601" s="65"/>
      <c r="D601" s="65"/>
      <c r="E601" s="66"/>
      <c r="F601" s="65"/>
      <c r="G601" s="67"/>
      <c r="H601" s="63"/>
    </row>
    <row r="602" ht="15.75" customHeight="1">
      <c r="B602" s="65"/>
      <c r="C602" s="65"/>
      <c r="D602" s="65"/>
      <c r="E602" s="66"/>
      <c r="F602" s="65"/>
      <c r="G602" s="67"/>
      <c r="H602" s="63"/>
    </row>
    <row r="603" ht="15.75" customHeight="1">
      <c r="B603" s="65"/>
      <c r="C603" s="65"/>
      <c r="D603" s="65"/>
      <c r="E603" s="66"/>
      <c r="F603" s="65"/>
      <c r="G603" s="67"/>
      <c r="H603" s="63"/>
    </row>
    <row r="604" ht="15.75" customHeight="1">
      <c r="B604" s="65"/>
      <c r="C604" s="65"/>
      <c r="D604" s="65"/>
      <c r="E604" s="66"/>
      <c r="F604" s="65"/>
      <c r="G604" s="67"/>
      <c r="H604" s="63"/>
    </row>
    <row r="605" ht="15.75" customHeight="1">
      <c r="B605" s="65"/>
      <c r="C605" s="65"/>
      <c r="D605" s="65"/>
      <c r="E605" s="66"/>
      <c r="F605" s="65"/>
      <c r="G605" s="67"/>
      <c r="H605" s="63"/>
    </row>
    <row r="606" ht="15.75" customHeight="1">
      <c r="B606" s="65"/>
      <c r="C606" s="65"/>
      <c r="D606" s="65"/>
      <c r="E606" s="66"/>
      <c r="F606" s="65"/>
      <c r="G606" s="67"/>
      <c r="H606" s="63"/>
    </row>
    <row r="607" ht="15.75" customHeight="1">
      <c r="B607" s="65"/>
      <c r="C607" s="65"/>
      <c r="D607" s="65"/>
      <c r="E607" s="66"/>
      <c r="F607" s="65"/>
      <c r="G607" s="67"/>
      <c r="H607" s="63"/>
    </row>
    <row r="608" ht="15.75" customHeight="1">
      <c r="B608" s="65"/>
      <c r="C608" s="65"/>
      <c r="D608" s="65"/>
      <c r="E608" s="66"/>
      <c r="F608" s="65"/>
      <c r="G608" s="67"/>
      <c r="H608" s="63"/>
    </row>
    <row r="609" ht="15.75" customHeight="1">
      <c r="B609" s="65"/>
      <c r="C609" s="65"/>
      <c r="D609" s="65"/>
      <c r="E609" s="66"/>
      <c r="F609" s="65"/>
      <c r="G609" s="67"/>
      <c r="H609" s="63"/>
    </row>
    <row r="610" ht="15.75" customHeight="1">
      <c r="B610" s="65"/>
      <c r="C610" s="65"/>
      <c r="D610" s="65"/>
      <c r="E610" s="66"/>
      <c r="F610" s="65"/>
      <c r="G610" s="67"/>
      <c r="H610" s="63"/>
    </row>
    <row r="611" ht="15.75" customHeight="1">
      <c r="B611" s="65"/>
      <c r="C611" s="65"/>
      <c r="D611" s="65"/>
      <c r="E611" s="66"/>
      <c r="F611" s="65"/>
      <c r="G611" s="67"/>
      <c r="H611" s="63"/>
    </row>
    <row r="612" ht="15.75" customHeight="1">
      <c r="B612" s="65"/>
      <c r="C612" s="65"/>
      <c r="D612" s="65"/>
      <c r="E612" s="66"/>
      <c r="F612" s="65"/>
      <c r="G612" s="67"/>
      <c r="H612" s="63"/>
    </row>
    <row r="613" ht="15.75" customHeight="1">
      <c r="B613" s="65"/>
      <c r="C613" s="65"/>
      <c r="D613" s="65"/>
      <c r="E613" s="66"/>
      <c r="F613" s="65"/>
      <c r="G613" s="67"/>
      <c r="H613" s="63"/>
    </row>
    <row r="614" ht="15.75" customHeight="1">
      <c r="B614" s="65"/>
      <c r="C614" s="65"/>
      <c r="D614" s="65"/>
      <c r="E614" s="66"/>
      <c r="F614" s="65"/>
      <c r="G614" s="67"/>
      <c r="H614" s="63"/>
    </row>
    <row r="615" ht="15.75" customHeight="1">
      <c r="B615" s="65"/>
      <c r="C615" s="65"/>
      <c r="D615" s="65"/>
      <c r="E615" s="66"/>
      <c r="F615" s="65"/>
      <c r="G615" s="67"/>
      <c r="H615" s="63"/>
    </row>
    <row r="616" ht="15.75" customHeight="1">
      <c r="B616" s="65"/>
      <c r="C616" s="65"/>
      <c r="D616" s="65"/>
      <c r="E616" s="66"/>
      <c r="F616" s="65"/>
      <c r="G616" s="67"/>
      <c r="H616" s="63"/>
    </row>
    <row r="617" ht="15.75" customHeight="1">
      <c r="B617" s="65"/>
      <c r="C617" s="65"/>
      <c r="D617" s="65"/>
      <c r="E617" s="66"/>
      <c r="F617" s="65"/>
      <c r="G617" s="67"/>
      <c r="H617" s="63"/>
    </row>
    <row r="618" ht="15.75" customHeight="1">
      <c r="B618" s="65"/>
      <c r="C618" s="65"/>
      <c r="D618" s="65"/>
      <c r="E618" s="66"/>
      <c r="F618" s="65"/>
      <c r="G618" s="67"/>
      <c r="H618" s="63"/>
    </row>
    <row r="619" ht="15.75" customHeight="1">
      <c r="B619" s="65"/>
      <c r="C619" s="65"/>
      <c r="D619" s="65"/>
      <c r="E619" s="66"/>
      <c r="F619" s="65"/>
      <c r="G619" s="67"/>
      <c r="H619" s="63"/>
    </row>
    <row r="620" ht="15.75" customHeight="1">
      <c r="B620" s="65"/>
      <c r="C620" s="65"/>
      <c r="D620" s="65"/>
      <c r="E620" s="66"/>
      <c r="F620" s="65"/>
      <c r="G620" s="67"/>
      <c r="H620" s="63"/>
    </row>
    <row r="621" ht="15.75" customHeight="1">
      <c r="B621" s="65"/>
      <c r="C621" s="65"/>
      <c r="D621" s="65"/>
      <c r="E621" s="66"/>
      <c r="F621" s="65"/>
      <c r="G621" s="67"/>
      <c r="H621" s="63"/>
    </row>
    <row r="622" ht="15.75" customHeight="1">
      <c r="B622" s="65"/>
      <c r="C622" s="65"/>
      <c r="D622" s="65"/>
      <c r="E622" s="66"/>
      <c r="F622" s="65"/>
      <c r="G622" s="67"/>
      <c r="H622" s="63"/>
    </row>
    <row r="623" ht="15.75" customHeight="1">
      <c r="B623" s="65"/>
      <c r="C623" s="65"/>
      <c r="D623" s="65"/>
      <c r="E623" s="66"/>
      <c r="F623" s="65"/>
      <c r="G623" s="67"/>
      <c r="H623" s="63"/>
    </row>
    <row r="624" ht="15.75" customHeight="1">
      <c r="B624" s="65"/>
      <c r="C624" s="65"/>
      <c r="D624" s="65"/>
      <c r="E624" s="66"/>
      <c r="F624" s="65"/>
      <c r="G624" s="67"/>
      <c r="H624" s="63"/>
    </row>
    <row r="625" ht="15.75" customHeight="1">
      <c r="B625" s="65"/>
      <c r="C625" s="65"/>
      <c r="D625" s="65"/>
      <c r="E625" s="66"/>
      <c r="F625" s="65"/>
      <c r="G625" s="67"/>
      <c r="H625" s="63"/>
    </row>
    <row r="626" ht="15.75" customHeight="1">
      <c r="B626" s="65"/>
      <c r="C626" s="65"/>
      <c r="D626" s="65"/>
      <c r="E626" s="66"/>
      <c r="F626" s="65"/>
      <c r="G626" s="67"/>
      <c r="H626" s="63"/>
    </row>
    <row r="627" ht="15.75" customHeight="1">
      <c r="B627" s="65"/>
      <c r="C627" s="65"/>
      <c r="D627" s="65"/>
      <c r="E627" s="66"/>
      <c r="F627" s="65"/>
      <c r="G627" s="67"/>
      <c r="H627" s="63"/>
    </row>
    <row r="628" ht="15.75" customHeight="1">
      <c r="B628" s="65"/>
      <c r="C628" s="65"/>
      <c r="D628" s="65"/>
      <c r="E628" s="66"/>
      <c r="F628" s="65"/>
      <c r="G628" s="67"/>
      <c r="H628" s="63"/>
    </row>
    <row r="629" ht="15.75" customHeight="1">
      <c r="B629" s="65"/>
      <c r="C629" s="65"/>
      <c r="D629" s="65"/>
      <c r="E629" s="66"/>
      <c r="F629" s="65"/>
      <c r="G629" s="67"/>
      <c r="H629" s="63"/>
    </row>
    <row r="630" ht="15.75" customHeight="1">
      <c r="B630" s="65"/>
      <c r="C630" s="65"/>
      <c r="D630" s="65"/>
      <c r="E630" s="66"/>
      <c r="F630" s="65"/>
      <c r="G630" s="67"/>
      <c r="H630" s="63"/>
    </row>
    <row r="631" ht="15.75" customHeight="1">
      <c r="B631" s="65"/>
      <c r="C631" s="65"/>
      <c r="D631" s="65"/>
      <c r="E631" s="66"/>
      <c r="F631" s="65"/>
      <c r="G631" s="67"/>
      <c r="H631" s="63"/>
    </row>
    <row r="632" ht="15.75" customHeight="1">
      <c r="B632" s="65"/>
      <c r="C632" s="65"/>
      <c r="D632" s="65"/>
      <c r="E632" s="66"/>
      <c r="F632" s="65"/>
      <c r="G632" s="67"/>
      <c r="H632" s="63"/>
    </row>
    <row r="633" ht="15.75" customHeight="1">
      <c r="B633" s="65"/>
      <c r="C633" s="65"/>
      <c r="D633" s="65"/>
      <c r="E633" s="66"/>
      <c r="F633" s="65"/>
      <c r="G633" s="67"/>
      <c r="H633" s="63"/>
    </row>
    <row r="634" ht="15.75" customHeight="1">
      <c r="B634" s="65"/>
      <c r="C634" s="65"/>
      <c r="D634" s="65"/>
      <c r="E634" s="66"/>
      <c r="F634" s="65"/>
      <c r="G634" s="67"/>
      <c r="H634" s="63"/>
    </row>
    <row r="635" ht="15.75" customHeight="1">
      <c r="B635" s="65"/>
      <c r="C635" s="65"/>
      <c r="D635" s="65"/>
      <c r="E635" s="66"/>
      <c r="F635" s="65"/>
      <c r="G635" s="67"/>
      <c r="H635" s="63"/>
    </row>
    <row r="636" ht="15.75" customHeight="1">
      <c r="B636" s="65"/>
      <c r="C636" s="65"/>
      <c r="D636" s="65"/>
      <c r="E636" s="66"/>
      <c r="F636" s="65"/>
      <c r="G636" s="67"/>
      <c r="H636" s="63"/>
    </row>
    <row r="637" ht="15.75" customHeight="1">
      <c r="B637" s="65"/>
      <c r="C637" s="65"/>
      <c r="D637" s="65"/>
      <c r="E637" s="66"/>
      <c r="F637" s="65"/>
      <c r="G637" s="67"/>
      <c r="H637" s="63"/>
    </row>
    <row r="638" ht="15.75" customHeight="1">
      <c r="B638" s="65"/>
      <c r="C638" s="65"/>
      <c r="D638" s="65"/>
      <c r="E638" s="66"/>
      <c r="F638" s="65"/>
      <c r="G638" s="67"/>
      <c r="H638" s="63"/>
    </row>
    <row r="639" ht="15.75" customHeight="1">
      <c r="B639" s="65"/>
      <c r="C639" s="65"/>
      <c r="D639" s="65"/>
      <c r="E639" s="66"/>
      <c r="F639" s="65"/>
      <c r="G639" s="67"/>
      <c r="H639" s="63"/>
    </row>
    <row r="640" ht="15.75" customHeight="1">
      <c r="B640" s="65"/>
      <c r="C640" s="65"/>
      <c r="D640" s="65"/>
      <c r="E640" s="66"/>
      <c r="F640" s="65"/>
      <c r="G640" s="67"/>
      <c r="H640" s="63"/>
    </row>
    <row r="641" ht="15.75" customHeight="1">
      <c r="B641" s="65"/>
      <c r="C641" s="65"/>
      <c r="D641" s="65"/>
      <c r="E641" s="66"/>
      <c r="F641" s="65"/>
      <c r="G641" s="67"/>
      <c r="H641" s="63"/>
    </row>
    <row r="642" ht="15.75" customHeight="1">
      <c r="B642" s="65"/>
      <c r="C642" s="65"/>
      <c r="D642" s="65"/>
      <c r="E642" s="66"/>
      <c r="F642" s="65"/>
      <c r="G642" s="67"/>
      <c r="H642" s="63"/>
    </row>
    <row r="643" ht="15.75" customHeight="1">
      <c r="B643" s="65"/>
      <c r="C643" s="65"/>
      <c r="D643" s="65"/>
      <c r="E643" s="66"/>
      <c r="F643" s="65"/>
      <c r="G643" s="67"/>
      <c r="H643" s="63"/>
    </row>
    <row r="644" ht="15.75" customHeight="1">
      <c r="B644" s="65"/>
      <c r="C644" s="65"/>
      <c r="D644" s="65"/>
      <c r="E644" s="66"/>
      <c r="F644" s="65"/>
      <c r="G644" s="67"/>
      <c r="H644" s="63"/>
    </row>
    <row r="645" ht="15.75" customHeight="1">
      <c r="B645" s="65"/>
      <c r="C645" s="65"/>
      <c r="D645" s="65"/>
      <c r="E645" s="66"/>
      <c r="F645" s="65"/>
      <c r="G645" s="67"/>
      <c r="H645" s="63"/>
    </row>
    <row r="646" ht="15.75" customHeight="1">
      <c r="B646" s="65"/>
      <c r="C646" s="65"/>
      <c r="D646" s="65"/>
      <c r="E646" s="66"/>
      <c r="F646" s="65"/>
      <c r="G646" s="67"/>
      <c r="H646" s="63"/>
    </row>
    <row r="647" ht="15.75" customHeight="1">
      <c r="B647" s="65"/>
      <c r="C647" s="65"/>
      <c r="D647" s="65"/>
      <c r="E647" s="66"/>
      <c r="F647" s="65"/>
      <c r="G647" s="67"/>
      <c r="H647" s="63"/>
    </row>
    <row r="648" ht="15.75" customHeight="1">
      <c r="B648" s="65"/>
      <c r="C648" s="65"/>
      <c r="D648" s="65"/>
      <c r="E648" s="66"/>
      <c r="F648" s="65"/>
      <c r="G648" s="67"/>
      <c r="H648" s="63"/>
    </row>
    <row r="649" ht="15.75" customHeight="1">
      <c r="B649" s="65"/>
      <c r="C649" s="65"/>
      <c r="D649" s="65"/>
      <c r="E649" s="66"/>
      <c r="F649" s="65"/>
      <c r="G649" s="67"/>
      <c r="H649" s="63"/>
    </row>
    <row r="650" ht="15.75" customHeight="1">
      <c r="B650" s="65"/>
      <c r="C650" s="65"/>
      <c r="D650" s="65"/>
      <c r="E650" s="66"/>
      <c r="F650" s="65"/>
      <c r="G650" s="67"/>
      <c r="H650" s="63"/>
    </row>
    <row r="651" ht="15.75" customHeight="1">
      <c r="B651" s="65"/>
      <c r="C651" s="65"/>
      <c r="D651" s="65"/>
      <c r="E651" s="66"/>
      <c r="F651" s="65"/>
      <c r="G651" s="67"/>
      <c r="H651" s="63"/>
    </row>
    <row r="652" ht="15.75" customHeight="1">
      <c r="B652" s="65"/>
      <c r="C652" s="65"/>
      <c r="D652" s="65"/>
      <c r="E652" s="66"/>
      <c r="F652" s="65"/>
      <c r="G652" s="67"/>
      <c r="H652" s="63"/>
    </row>
    <row r="653" ht="15.75" customHeight="1">
      <c r="B653" s="65"/>
      <c r="C653" s="65"/>
      <c r="D653" s="65"/>
      <c r="E653" s="66"/>
      <c r="F653" s="65"/>
      <c r="G653" s="67"/>
      <c r="H653" s="63"/>
    </row>
    <row r="654" ht="15.75" customHeight="1">
      <c r="B654" s="65"/>
      <c r="C654" s="65"/>
      <c r="D654" s="65"/>
      <c r="E654" s="66"/>
      <c r="F654" s="65"/>
      <c r="G654" s="67"/>
      <c r="H654" s="63"/>
    </row>
    <row r="655" ht="15.75" customHeight="1">
      <c r="B655" s="65"/>
      <c r="C655" s="65"/>
      <c r="D655" s="65"/>
      <c r="E655" s="66"/>
      <c r="F655" s="65"/>
      <c r="G655" s="67"/>
      <c r="H655" s="63"/>
    </row>
    <row r="656" ht="15.75" customHeight="1">
      <c r="B656" s="65"/>
      <c r="C656" s="65"/>
      <c r="D656" s="65"/>
      <c r="E656" s="66"/>
      <c r="F656" s="65"/>
      <c r="G656" s="67"/>
      <c r="H656" s="63"/>
    </row>
    <row r="657" ht="15.75" customHeight="1">
      <c r="B657" s="65"/>
      <c r="C657" s="65"/>
      <c r="D657" s="65"/>
      <c r="E657" s="66"/>
      <c r="F657" s="65"/>
      <c r="G657" s="67"/>
      <c r="H657" s="63"/>
    </row>
    <row r="658" ht="15.75" customHeight="1">
      <c r="B658" s="65"/>
      <c r="C658" s="65"/>
      <c r="D658" s="65"/>
      <c r="E658" s="66"/>
      <c r="F658" s="65"/>
      <c r="G658" s="67"/>
      <c r="H658" s="63"/>
    </row>
    <row r="659" ht="15.75" customHeight="1">
      <c r="B659" s="65"/>
      <c r="C659" s="65"/>
      <c r="D659" s="65"/>
      <c r="E659" s="66"/>
      <c r="F659" s="65"/>
      <c r="G659" s="67"/>
      <c r="H659" s="63"/>
    </row>
    <row r="660" ht="15.75" customHeight="1">
      <c r="B660" s="65"/>
      <c r="C660" s="65"/>
      <c r="D660" s="65"/>
      <c r="E660" s="66"/>
      <c r="F660" s="65"/>
      <c r="G660" s="67"/>
      <c r="H660" s="63"/>
    </row>
    <row r="661" ht="15.75" customHeight="1">
      <c r="B661" s="65"/>
      <c r="C661" s="65"/>
      <c r="D661" s="65"/>
      <c r="E661" s="66"/>
      <c r="F661" s="65"/>
      <c r="G661" s="67"/>
      <c r="H661" s="63"/>
    </row>
    <row r="662" ht="15.75" customHeight="1">
      <c r="B662" s="65"/>
      <c r="C662" s="65"/>
      <c r="D662" s="65"/>
      <c r="E662" s="66"/>
      <c r="F662" s="65"/>
      <c r="G662" s="67"/>
      <c r="H662" s="63"/>
    </row>
    <row r="663" ht="15.75" customHeight="1">
      <c r="B663" s="65"/>
      <c r="C663" s="65"/>
      <c r="D663" s="65"/>
      <c r="E663" s="66"/>
      <c r="F663" s="65"/>
      <c r="G663" s="67"/>
      <c r="H663" s="63"/>
    </row>
    <row r="664" ht="15.75" customHeight="1">
      <c r="B664" s="65"/>
      <c r="C664" s="65"/>
      <c r="D664" s="65"/>
      <c r="E664" s="66"/>
      <c r="F664" s="65"/>
      <c r="G664" s="67"/>
      <c r="H664" s="63"/>
    </row>
    <row r="665" ht="15.75" customHeight="1">
      <c r="B665" s="65"/>
      <c r="C665" s="65"/>
      <c r="D665" s="65"/>
      <c r="E665" s="66"/>
      <c r="F665" s="65"/>
      <c r="G665" s="67"/>
      <c r="H665" s="63"/>
    </row>
    <row r="666" ht="15.75" customHeight="1">
      <c r="B666" s="65"/>
      <c r="C666" s="65"/>
      <c r="D666" s="65"/>
      <c r="E666" s="66"/>
      <c r="F666" s="65"/>
      <c r="G666" s="67"/>
      <c r="H666" s="63"/>
    </row>
    <row r="667" ht="15.75" customHeight="1">
      <c r="B667" s="65"/>
      <c r="C667" s="65"/>
      <c r="D667" s="65"/>
      <c r="E667" s="66"/>
      <c r="F667" s="65"/>
      <c r="G667" s="67"/>
      <c r="H667" s="63"/>
    </row>
    <row r="668" ht="15.75" customHeight="1">
      <c r="B668" s="65"/>
      <c r="C668" s="65"/>
      <c r="D668" s="65"/>
      <c r="E668" s="66"/>
      <c r="F668" s="65"/>
      <c r="G668" s="67"/>
      <c r="H668" s="63"/>
    </row>
    <row r="669" ht="15.75" customHeight="1">
      <c r="B669" s="65"/>
      <c r="C669" s="65"/>
      <c r="D669" s="65"/>
      <c r="E669" s="66"/>
      <c r="F669" s="65"/>
      <c r="G669" s="67"/>
      <c r="H669" s="63"/>
    </row>
    <row r="670" ht="15.75" customHeight="1">
      <c r="B670" s="65"/>
      <c r="C670" s="65"/>
      <c r="D670" s="65"/>
      <c r="E670" s="66"/>
      <c r="F670" s="65"/>
      <c r="G670" s="67"/>
      <c r="H670" s="63"/>
    </row>
    <row r="671" ht="15.75" customHeight="1">
      <c r="B671" s="65"/>
      <c r="C671" s="65"/>
      <c r="D671" s="65"/>
      <c r="E671" s="66"/>
      <c r="F671" s="65"/>
      <c r="G671" s="67"/>
      <c r="H671" s="63"/>
    </row>
    <row r="672" ht="15.75" customHeight="1">
      <c r="B672" s="65"/>
      <c r="C672" s="65"/>
      <c r="D672" s="65"/>
      <c r="E672" s="66"/>
      <c r="F672" s="65"/>
      <c r="G672" s="67"/>
      <c r="H672" s="63"/>
    </row>
    <row r="673" ht="15.75" customHeight="1">
      <c r="B673" s="65"/>
      <c r="C673" s="65"/>
      <c r="D673" s="65"/>
      <c r="E673" s="66"/>
      <c r="F673" s="65"/>
      <c r="G673" s="67"/>
      <c r="H673" s="63"/>
    </row>
    <row r="674" ht="15.75" customHeight="1">
      <c r="B674" s="65"/>
      <c r="C674" s="65"/>
      <c r="D674" s="65"/>
      <c r="E674" s="66"/>
      <c r="F674" s="65"/>
      <c r="G674" s="67"/>
      <c r="H674" s="63"/>
    </row>
    <row r="675" ht="15.75" customHeight="1">
      <c r="B675" s="65"/>
      <c r="C675" s="65"/>
      <c r="D675" s="65"/>
      <c r="E675" s="66"/>
      <c r="F675" s="65"/>
      <c r="G675" s="67"/>
      <c r="H675" s="63"/>
    </row>
    <row r="676" ht="15.75" customHeight="1">
      <c r="B676" s="65"/>
      <c r="C676" s="65"/>
      <c r="D676" s="65"/>
      <c r="E676" s="66"/>
      <c r="F676" s="65"/>
      <c r="G676" s="67"/>
      <c r="H676" s="63"/>
    </row>
    <row r="677" ht="15.75" customHeight="1">
      <c r="B677" s="65"/>
      <c r="C677" s="65"/>
      <c r="D677" s="65"/>
      <c r="E677" s="66"/>
      <c r="F677" s="65"/>
      <c r="G677" s="67"/>
      <c r="H677" s="63"/>
    </row>
    <row r="678" ht="15.75" customHeight="1">
      <c r="B678" s="65"/>
      <c r="C678" s="65"/>
      <c r="D678" s="65"/>
      <c r="E678" s="66"/>
      <c r="F678" s="65"/>
      <c r="G678" s="67"/>
      <c r="H678" s="63"/>
    </row>
    <row r="679" ht="15.75" customHeight="1">
      <c r="B679" s="65"/>
      <c r="C679" s="65"/>
      <c r="D679" s="65"/>
      <c r="E679" s="66"/>
      <c r="F679" s="65"/>
      <c r="G679" s="67"/>
      <c r="H679" s="63"/>
    </row>
    <row r="680" ht="15.75" customHeight="1">
      <c r="B680" s="65"/>
      <c r="C680" s="65"/>
      <c r="D680" s="65"/>
      <c r="E680" s="66"/>
      <c r="F680" s="65"/>
      <c r="G680" s="67"/>
      <c r="H680" s="63"/>
    </row>
    <row r="681" ht="15.75" customHeight="1">
      <c r="B681" s="65"/>
      <c r="C681" s="65"/>
      <c r="D681" s="65"/>
      <c r="E681" s="66"/>
      <c r="F681" s="65"/>
      <c r="G681" s="67"/>
      <c r="H681" s="63"/>
    </row>
    <row r="682" ht="15.75" customHeight="1">
      <c r="B682" s="65"/>
      <c r="C682" s="65"/>
      <c r="D682" s="65"/>
      <c r="E682" s="66"/>
      <c r="F682" s="65"/>
      <c r="G682" s="67"/>
      <c r="H682" s="63"/>
    </row>
    <row r="683" ht="15.75" customHeight="1">
      <c r="B683" s="65"/>
      <c r="C683" s="65"/>
      <c r="D683" s="65"/>
      <c r="E683" s="66"/>
      <c r="F683" s="65"/>
      <c r="G683" s="67"/>
      <c r="H683" s="63"/>
    </row>
    <row r="684" ht="15.75" customHeight="1">
      <c r="B684" s="65"/>
      <c r="C684" s="65"/>
      <c r="D684" s="65"/>
      <c r="E684" s="66"/>
      <c r="F684" s="65"/>
      <c r="G684" s="67"/>
      <c r="H684" s="63"/>
    </row>
    <row r="685" ht="15.75" customHeight="1">
      <c r="B685" s="65"/>
      <c r="C685" s="65"/>
      <c r="D685" s="65"/>
      <c r="E685" s="66"/>
      <c r="F685" s="65"/>
      <c r="G685" s="67"/>
      <c r="H685" s="63"/>
    </row>
    <row r="686" ht="15.75" customHeight="1">
      <c r="B686" s="65"/>
      <c r="C686" s="65"/>
      <c r="D686" s="65"/>
      <c r="E686" s="66"/>
      <c r="F686" s="65"/>
      <c r="G686" s="67"/>
      <c r="H686" s="63"/>
    </row>
    <row r="687" ht="15.75" customHeight="1">
      <c r="B687" s="65"/>
      <c r="C687" s="65"/>
      <c r="D687" s="65"/>
      <c r="E687" s="66"/>
      <c r="F687" s="65"/>
      <c r="G687" s="67"/>
      <c r="H687" s="63"/>
    </row>
    <row r="688" ht="15.75" customHeight="1">
      <c r="B688" s="65"/>
      <c r="C688" s="65"/>
      <c r="D688" s="65"/>
      <c r="E688" s="66"/>
      <c r="F688" s="65"/>
      <c r="G688" s="67"/>
      <c r="H688" s="63"/>
    </row>
    <row r="689" ht="15.75" customHeight="1">
      <c r="B689" s="65"/>
      <c r="C689" s="65"/>
      <c r="D689" s="65"/>
      <c r="E689" s="66"/>
      <c r="F689" s="65"/>
      <c r="G689" s="67"/>
      <c r="H689" s="63"/>
    </row>
    <row r="690" ht="15.75" customHeight="1">
      <c r="B690" s="65"/>
      <c r="C690" s="65"/>
      <c r="D690" s="65"/>
      <c r="E690" s="66"/>
      <c r="F690" s="65"/>
      <c r="G690" s="67"/>
      <c r="H690" s="63"/>
    </row>
    <row r="691" ht="15.75" customHeight="1">
      <c r="B691" s="65"/>
      <c r="C691" s="65"/>
      <c r="D691" s="65"/>
      <c r="E691" s="66"/>
      <c r="F691" s="65"/>
      <c r="G691" s="67"/>
      <c r="H691" s="63"/>
    </row>
    <row r="692" ht="15.75" customHeight="1">
      <c r="B692" s="65"/>
      <c r="C692" s="65"/>
      <c r="D692" s="65"/>
      <c r="E692" s="66"/>
      <c r="F692" s="65"/>
      <c r="G692" s="67"/>
      <c r="H692" s="63"/>
    </row>
    <row r="693" ht="15.75" customHeight="1">
      <c r="B693" s="65"/>
      <c r="C693" s="65"/>
      <c r="D693" s="65"/>
      <c r="E693" s="66"/>
      <c r="F693" s="65"/>
      <c r="G693" s="67"/>
      <c r="H693" s="63"/>
    </row>
    <row r="694" ht="15.75" customHeight="1">
      <c r="B694" s="65"/>
      <c r="C694" s="65"/>
      <c r="D694" s="65"/>
      <c r="E694" s="66"/>
      <c r="F694" s="65"/>
      <c r="G694" s="67"/>
      <c r="H694" s="63"/>
    </row>
    <row r="695" ht="15.75" customHeight="1">
      <c r="B695" s="65"/>
      <c r="C695" s="65"/>
      <c r="D695" s="65"/>
      <c r="E695" s="66"/>
      <c r="F695" s="65"/>
      <c r="G695" s="67"/>
      <c r="H695" s="63"/>
    </row>
    <row r="696" ht="15.75" customHeight="1">
      <c r="B696" s="65"/>
      <c r="C696" s="65"/>
      <c r="D696" s="65"/>
      <c r="E696" s="66"/>
      <c r="F696" s="65"/>
      <c r="G696" s="67"/>
      <c r="H696" s="63"/>
    </row>
    <row r="697" ht="15.75" customHeight="1">
      <c r="B697" s="65"/>
      <c r="C697" s="65"/>
      <c r="D697" s="65"/>
      <c r="E697" s="66"/>
      <c r="F697" s="65"/>
      <c r="G697" s="67"/>
      <c r="H697" s="63"/>
    </row>
    <row r="698" ht="15.75" customHeight="1">
      <c r="B698" s="65"/>
      <c r="C698" s="65"/>
      <c r="D698" s="65"/>
      <c r="E698" s="66"/>
      <c r="F698" s="65"/>
      <c r="G698" s="67"/>
      <c r="H698" s="63"/>
    </row>
    <row r="699" ht="15.75" customHeight="1">
      <c r="B699" s="65"/>
      <c r="C699" s="65"/>
      <c r="D699" s="65"/>
      <c r="E699" s="66"/>
      <c r="F699" s="65"/>
      <c r="G699" s="67"/>
      <c r="H699" s="63"/>
    </row>
    <row r="700" ht="15.75" customHeight="1">
      <c r="B700" s="65"/>
      <c r="C700" s="65"/>
      <c r="D700" s="65"/>
      <c r="E700" s="66"/>
      <c r="F700" s="65"/>
      <c r="G700" s="67"/>
      <c r="H700" s="63"/>
    </row>
    <row r="701" ht="15.75" customHeight="1">
      <c r="B701" s="65"/>
      <c r="C701" s="65"/>
      <c r="D701" s="65"/>
      <c r="E701" s="66"/>
      <c r="F701" s="65"/>
      <c r="G701" s="67"/>
      <c r="H701" s="63"/>
    </row>
    <row r="702" ht="15.75" customHeight="1">
      <c r="B702" s="65"/>
      <c r="C702" s="65"/>
      <c r="D702" s="65"/>
      <c r="E702" s="66"/>
      <c r="F702" s="65"/>
      <c r="G702" s="67"/>
      <c r="H702" s="63"/>
    </row>
    <row r="703" ht="15.75" customHeight="1">
      <c r="B703" s="65"/>
      <c r="C703" s="65"/>
      <c r="D703" s="65"/>
      <c r="E703" s="66"/>
      <c r="F703" s="65"/>
      <c r="G703" s="67"/>
      <c r="H703" s="63"/>
    </row>
    <row r="704" ht="15.75" customHeight="1">
      <c r="B704" s="65"/>
      <c r="C704" s="65"/>
      <c r="D704" s="65"/>
      <c r="E704" s="66"/>
      <c r="F704" s="65"/>
      <c r="G704" s="67"/>
      <c r="H704" s="63"/>
    </row>
    <row r="705" ht="15.75" customHeight="1">
      <c r="B705" s="65"/>
      <c r="C705" s="65"/>
      <c r="D705" s="65"/>
      <c r="E705" s="66"/>
      <c r="F705" s="65"/>
      <c r="G705" s="67"/>
      <c r="H705" s="63"/>
    </row>
    <row r="706" ht="15.75" customHeight="1">
      <c r="B706" s="65"/>
      <c r="C706" s="65"/>
      <c r="D706" s="65"/>
      <c r="E706" s="66"/>
      <c r="F706" s="65"/>
      <c r="G706" s="67"/>
      <c r="H706" s="63"/>
    </row>
    <row r="707" ht="15.75" customHeight="1">
      <c r="B707" s="65"/>
      <c r="C707" s="65"/>
      <c r="D707" s="65"/>
      <c r="E707" s="66"/>
      <c r="F707" s="65"/>
      <c r="G707" s="67"/>
      <c r="H707" s="63"/>
    </row>
    <row r="708" ht="15.75" customHeight="1">
      <c r="B708" s="65"/>
      <c r="C708" s="65"/>
      <c r="D708" s="65"/>
      <c r="E708" s="66"/>
      <c r="F708" s="65"/>
      <c r="G708" s="67"/>
      <c r="H708" s="63"/>
    </row>
    <row r="709" ht="15.75" customHeight="1">
      <c r="B709" s="65"/>
      <c r="C709" s="65"/>
      <c r="D709" s="65"/>
      <c r="E709" s="66"/>
      <c r="F709" s="65"/>
      <c r="G709" s="67"/>
      <c r="H709" s="63"/>
    </row>
    <row r="710" ht="15.75" customHeight="1">
      <c r="B710" s="65"/>
      <c r="C710" s="65"/>
      <c r="D710" s="65"/>
      <c r="E710" s="66"/>
      <c r="F710" s="65"/>
      <c r="G710" s="67"/>
      <c r="H710" s="63"/>
    </row>
    <row r="711" ht="15.75" customHeight="1">
      <c r="B711" s="65"/>
      <c r="C711" s="65"/>
      <c r="D711" s="65"/>
      <c r="E711" s="66"/>
      <c r="F711" s="65"/>
      <c r="G711" s="67"/>
      <c r="H711" s="63"/>
    </row>
    <row r="712" ht="15.75" customHeight="1">
      <c r="B712" s="65"/>
      <c r="C712" s="65"/>
      <c r="D712" s="65"/>
      <c r="E712" s="66"/>
      <c r="F712" s="65"/>
      <c r="G712" s="67"/>
      <c r="H712" s="63"/>
    </row>
    <row r="713" ht="15.75" customHeight="1">
      <c r="B713" s="65"/>
      <c r="C713" s="65"/>
      <c r="D713" s="65"/>
      <c r="E713" s="66"/>
      <c r="F713" s="65"/>
      <c r="G713" s="67"/>
      <c r="H713" s="63"/>
    </row>
    <row r="714" ht="15.75" customHeight="1">
      <c r="B714" s="65"/>
      <c r="C714" s="65"/>
      <c r="D714" s="65"/>
      <c r="E714" s="66"/>
      <c r="F714" s="65"/>
      <c r="G714" s="67"/>
      <c r="H714" s="63"/>
    </row>
    <row r="715" ht="15.75" customHeight="1">
      <c r="B715" s="65"/>
      <c r="C715" s="65"/>
      <c r="D715" s="65"/>
      <c r="E715" s="66"/>
      <c r="F715" s="65"/>
      <c r="G715" s="67"/>
      <c r="H715" s="63"/>
    </row>
    <row r="716" ht="15.75" customHeight="1">
      <c r="B716" s="65"/>
      <c r="C716" s="65"/>
      <c r="D716" s="65"/>
      <c r="E716" s="66"/>
      <c r="F716" s="65"/>
      <c r="G716" s="67"/>
      <c r="H716" s="63"/>
    </row>
    <row r="717" ht="15.75" customHeight="1">
      <c r="B717" s="65"/>
      <c r="C717" s="65"/>
      <c r="D717" s="65"/>
      <c r="E717" s="66"/>
      <c r="F717" s="65"/>
      <c r="G717" s="67"/>
      <c r="H717" s="63"/>
    </row>
    <row r="718" ht="15.75" customHeight="1">
      <c r="B718" s="65"/>
      <c r="C718" s="65"/>
      <c r="D718" s="65"/>
      <c r="E718" s="66"/>
      <c r="F718" s="65"/>
      <c r="G718" s="67"/>
      <c r="H718" s="63"/>
    </row>
    <row r="719" ht="15.75" customHeight="1">
      <c r="B719" s="65"/>
      <c r="C719" s="65"/>
      <c r="D719" s="65"/>
      <c r="E719" s="66"/>
      <c r="F719" s="65"/>
      <c r="G719" s="67"/>
      <c r="H719" s="63"/>
    </row>
    <row r="720" ht="15.75" customHeight="1">
      <c r="B720" s="65"/>
      <c r="C720" s="65"/>
      <c r="D720" s="65"/>
      <c r="E720" s="66"/>
      <c r="F720" s="65"/>
      <c r="G720" s="67"/>
      <c r="H720" s="63"/>
    </row>
    <row r="721" ht="15.75" customHeight="1">
      <c r="B721" s="65"/>
      <c r="C721" s="65"/>
      <c r="D721" s="65"/>
      <c r="E721" s="66"/>
      <c r="F721" s="65"/>
      <c r="G721" s="67"/>
      <c r="H721" s="63"/>
    </row>
    <row r="722" ht="15.75" customHeight="1">
      <c r="B722" s="65"/>
      <c r="C722" s="65"/>
      <c r="D722" s="65"/>
      <c r="E722" s="66"/>
      <c r="F722" s="65"/>
      <c r="G722" s="67"/>
      <c r="H722" s="63"/>
    </row>
    <row r="723" ht="15.75" customHeight="1">
      <c r="B723" s="65"/>
      <c r="C723" s="65"/>
      <c r="D723" s="65"/>
      <c r="E723" s="66"/>
      <c r="F723" s="65"/>
      <c r="G723" s="67"/>
      <c r="H723" s="63"/>
    </row>
    <row r="724" ht="15.75" customHeight="1">
      <c r="B724" s="65"/>
      <c r="C724" s="65"/>
      <c r="D724" s="65"/>
      <c r="E724" s="66"/>
      <c r="F724" s="65"/>
      <c r="G724" s="67"/>
      <c r="H724" s="63"/>
    </row>
    <row r="725" ht="15.75" customHeight="1">
      <c r="B725" s="65"/>
      <c r="C725" s="65"/>
      <c r="D725" s="65"/>
      <c r="E725" s="66"/>
      <c r="F725" s="65"/>
      <c r="G725" s="67"/>
      <c r="H725" s="63"/>
    </row>
    <row r="726" ht="15.75" customHeight="1">
      <c r="B726" s="65"/>
      <c r="C726" s="65"/>
      <c r="D726" s="65"/>
      <c r="E726" s="66"/>
      <c r="F726" s="65"/>
      <c r="G726" s="67"/>
      <c r="H726" s="63"/>
    </row>
    <row r="727" ht="15.75" customHeight="1">
      <c r="B727" s="65"/>
      <c r="C727" s="65"/>
      <c r="D727" s="65"/>
      <c r="E727" s="66"/>
      <c r="F727" s="65"/>
      <c r="G727" s="67"/>
      <c r="H727" s="63"/>
    </row>
    <row r="728" ht="15.75" customHeight="1">
      <c r="B728" s="65"/>
      <c r="C728" s="65"/>
      <c r="D728" s="65"/>
      <c r="E728" s="66"/>
      <c r="F728" s="65"/>
      <c r="G728" s="67"/>
      <c r="H728" s="63"/>
    </row>
    <row r="729" ht="15.75" customHeight="1">
      <c r="B729" s="65"/>
      <c r="C729" s="65"/>
      <c r="D729" s="65"/>
      <c r="E729" s="66"/>
      <c r="F729" s="65"/>
      <c r="G729" s="67"/>
      <c r="H729" s="63"/>
    </row>
    <row r="730" ht="15.75" customHeight="1">
      <c r="B730" s="65"/>
      <c r="C730" s="65"/>
      <c r="D730" s="65"/>
      <c r="E730" s="66"/>
      <c r="F730" s="65"/>
      <c r="G730" s="67"/>
      <c r="H730" s="63"/>
    </row>
    <row r="731" ht="15.75" customHeight="1">
      <c r="B731" s="65"/>
      <c r="C731" s="65"/>
      <c r="D731" s="65"/>
      <c r="E731" s="66"/>
      <c r="F731" s="65"/>
      <c r="G731" s="67"/>
      <c r="H731" s="63"/>
    </row>
    <row r="732" ht="15.75" customHeight="1">
      <c r="B732" s="65"/>
      <c r="C732" s="65"/>
      <c r="D732" s="65"/>
      <c r="E732" s="66"/>
      <c r="F732" s="65"/>
      <c r="G732" s="67"/>
      <c r="H732" s="63"/>
    </row>
    <row r="733" ht="15.75" customHeight="1">
      <c r="B733" s="65"/>
      <c r="C733" s="65"/>
      <c r="D733" s="65"/>
      <c r="E733" s="66"/>
      <c r="F733" s="65"/>
      <c r="G733" s="67"/>
      <c r="H733" s="63"/>
    </row>
    <row r="734" ht="15.75" customHeight="1">
      <c r="B734" s="65"/>
      <c r="C734" s="65"/>
      <c r="D734" s="65"/>
      <c r="E734" s="66"/>
      <c r="F734" s="65"/>
      <c r="G734" s="67"/>
      <c r="H734" s="63"/>
    </row>
    <row r="735" ht="15.75" customHeight="1">
      <c r="B735" s="65"/>
      <c r="C735" s="65"/>
      <c r="D735" s="65"/>
      <c r="E735" s="66"/>
      <c r="F735" s="65"/>
      <c r="G735" s="67"/>
      <c r="H735" s="63"/>
    </row>
    <row r="736" ht="15.75" customHeight="1">
      <c r="B736" s="65"/>
      <c r="C736" s="65"/>
      <c r="D736" s="65"/>
      <c r="E736" s="66"/>
      <c r="F736" s="65"/>
      <c r="G736" s="67"/>
      <c r="H736" s="63"/>
    </row>
    <row r="737" ht="15.75" customHeight="1">
      <c r="B737" s="65"/>
      <c r="C737" s="65"/>
      <c r="D737" s="65"/>
      <c r="E737" s="66"/>
      <c r="F737" s="65"/>
      <c r="G737" s="67"/>
      <c r="H737" s="63"/>
    </row>
    <row r="738" ht="15.75" customHeight="1">
      <c r="B738" s="65"/>
      <c r="C738" s="65"/>
      <c r="D738" s="65"/>
      <c r="E738" s="66"/>
      <c r="F738" s="65"/>
      <c r="G738" s="67"/>
      <c r="H738" s="63"/>
    </row>
    <row r="739" ht="15.75" customHeight="1">
      <c r="B739" s="65"/>
      <c r="C739" s="65"/>
      <c r="D739" s="65"/>
      <c r="E739" s="66"/>
      <c r="F739" s="65"/>
      <c r="G739" s="67"/>
      <c r="H739" s="63"/>
    </row>
    <row r="740" ht="15.75" customHeight="1">
      <c r="B740" s="65"/>
      <c r="C740" s="65"/>
      <c r="D740" s="65"/>
      <c r="E740" s="66"/>
      <c r="F740" s="65"/>
      <c r="G740" s="67"/>
      <c r="H740" s="63"/>
    </row>
    <row r="741" ht="15.75" customHeight="1">
      <c r="B741" s="65"/>
      <c r="C741" s="65"/>
      <c r="D741" s="65"/>
      <c r="E741" s="66"/>
      <c r="F741" s="65"/>
      <c r="G741" s="67"/>
      <c r="H741" s="63"/>
    </row>
    <row r="742" ht="15.75" customHeight="1">
      <c r="B742" s="65"/>
      <c r="C742" s="65"/>
      <c r="D742" s="65"/>
      <c r="E742" s="66"/>
      <c r="F742" s="65"/>
      <c r="G742" s="67"/>
      <c r="H742" s="63"/>
    </row>
    <row r="743" ht="15.75" customHeight="1">
      <c r="B743" s="65"/>
      <c r="C743" s="65"/>
      <c r="D743" s="65"/>
      <c r="E743" s="66"/>
      <c r="F743" s="65"/>
      <c r="G743" s="67"/>
      <c r="H743" s="63"/>
    </row>
    <row r="744" ht="15.75" customHeight="1">
      <c r="B744" s="65"/>
      <c r="C744" s="65"/>
      <c r="D744" s="65"/>
      <c r="E744" s="66"/>
      <c r="F744" s="65"/>
      <c r="G744" s="67"/>
      <c r="H744" s="63"/>
    </row>
    <row r="745" ht="15.75" customHeight="1">
      <c r="B745" s="65"/>
      <c r="C745" s="65"/>
      <c r="D745" s="65"/>
      <c r="E745" s="66"/>
      <c r="F745" s="65"/>
      <c r="G745" s="67"/>
      <c r="H745" s="63"/>
    </row>
    <row r="746" ht="15.75" customHeight="1">
      <c r="B746" s="65"/>
      <c r="C746" s="65"/>
      <c r="D746" s="65"/>
      <c r="E746" s="66"/>
      <c r="F746" s="65"/>
      <c r="G746" s="67"/>
      <c r="H746" s="63"/>
    </row>
    <row r="747" ht="15.75" customHeight="1">
      <c r="B747" s="65"/>
      <c r="C747" s="65"/>
      <c r="D747" s="65"/>
      <c r="E747" s="66"/>
      <c r="F747" s="65"/>
      <c r="G747" s="67"/>
      <c r="H747" s="63"/>
    </row>
    <row r="748" ht="15.75" customHeight="1">
      <c r="B748" s="65"/>
      <c r="C748" s="65"/>
      <c r="D748" s="65"/>
      <c r="E748" s="66"/>
      <c r="F748" s="65"/>
      <c r="G748" s="67"/>
      <c r="H748" s="63"/>
    </row>
    <row r="749" ht="15.75" customHeight="1">
      <c r="B749" s="65"/>
      <c r="C749" s="65"/>
      <c r="D749" s="65"/>
      <c r="E749" s="66"/>
      <c r="F749" s="65"/>
      <c r="G749" s="67"/>
      <c r="H749" s="63"/>
    </row>
    <row r="750" ht="15.75" customHeight="1">
      <c r="B750" s="65"/>
      <c r="C750" s="65"/>
      <c r="D750" s="65"/>
      <c r="E750" s="66"/>
      <c r="F750" s="65"/>
      <c r="G750" s="67"/>
      <c r="H750" s="63"/>
    </row>
    <row r="751" ht="15.75" customHeight="1">
      <c r="B751" s="65"/>
      <c r="C751" s="65"/>
      <c r="D751" s="65"/>
      <c r="E751" s="66"/>
      <c r="F751" s="65"/>
      <c r="G751" s="67"/>
      <c r="H751" s="63"/>
    </row>
    <row r="752" ht="15.75" customHeight="1">
      <c r="B752" s="65"/>
      <c r="C752" s="65"/>
      <c r="D752" s="65"/>
      <c r="E752" s="66"/>
      <c r="F752" s="65"/>
      <c r="G752" s="67"/>
      <c r="H752" s="63"/>
    </row>
    <row r="753" ht="15.75" customHeight="1">
      <c r="B753" s="65"/>
      <c r="C753" s="65"/>
      <c r="D753" s="65"/>
      <c r="E753" s="66"/>
      <c r="F753" s="65"/>
      <c r="G753" s="67"/>
      <c r="H753" s="63"/>
    </row>
    <row r="754" ht="15.75" customHeight="1">
      <c r="B754" s="65"/>
      <c r="C754" s="65"/>
      <c r="D754" s="65"/>
      <c r="E754" s="66"/>
      <c r="F754" s="65"/>
      <c r="G754" s="67"/>
      <c r="H754" s="63"/>
    </row>
    <row r="755" ht="15.75" customHeight="1">
      <c r="B755" s="65"/>
      <c r="C755" s="65"/>
      <c r="D755" s="65"/>
      <c r="E755" s="66"/>
      <c r="F755" s="65"/>
      <c r="G755" s="67"/>
      <c r="H755" s="63"/>
    </row>
    <row r="756" ht="15.75" customHeight="1">
      <c r="B756" s="65"/>
      <c r="C756" s="65"/>
      <c r="D756" s="65"/>
      <c r="E756" s="66"/>
      <c r="F756" s="65"/>
      <c r="G756" s="67"/>
      <c r="H756" s="63"/>
    </row>
    <row r="757" ht="15.75" customHeight="1">
      <c r="B757" s="65"/>
      <c r="C757" s="65"/>
      <c r="D757" s="65"/>
      <c r="E757" s="66"/>
      <c r="F757" s="65"/>
      <c r="G757" s="67"/>
      <c r="H757" s="63"/>
    </row>
    <row r="758" ht="15.75" customHeight="1">
      <c r="B758" s="65"/>
      <c r="C758" s="65"/>
      <c r="D758" s="65"/>
      <c r="E758" s="66"/>
      <c r="F758" s="65"/>
      <c r="G758" s="67"/>
      <c r="H758" s="63"/>
    </row>
    <row r="759" ht="15.75" customHeight="1">
      <c r="B759" s="65"/>
      <c r="C759" s="65"/>
      <c r="D759" s="65"/>
      <c r="E759" s="66"/>
      <c r="F759" s="65"/>
      <c r="G759" s="67"/>
      <c r="H759" s="63"/>
    </row>
    <row r="760" ht="15.75" customHeight="1">
      <c r="B760" s="65"/>
      <c r="C760" s="65"/>
      <c r="D760" s="65"/>
      <c r="E760" s="66"/>
      <c r="F760" s="65"/>
      <c r="G760" s="67"/>
      <c r="H760" s="63"/>
    </row>
    <row r="761" ht="15.75" customHeight="1">
      <c r="B761" s="65"/>
      <c r="C761" s="65"/>
      <c r="D761" s="65"/>
      <c r="E761" s="66"/>
      <c r="F761" s="65"/>
      <c r="G761" s="67"/>
      <c r="H761" s="63"/>
    </row>
    <row r="762" ht="15.75" customHeight="1">
      <c r="B762" s="65"/>
      <c r="C762" s="65"/>
      <c r="D762" s="65"/>
      <c r="E762" s="66"/>
      <c r="F762" s="65"/>
      <c r="G762" s="67"/>
      <c r="H762" s="63"/>
    </row>
    <row r="763" ht="15.75" customHeight="1">
      <c r="B763" s="65"/>
      <c r="C763" s="65"/>
      <c r="D763" s="65"/>
      <c r="E763" s="66"/>
      <c r="F763" s="65"/>
      <c r="G763" s="67"/>
      <c r="H763" s="63"/>
    </row>
    <row r="764" ht="15.75" customHeight="1">
      <c r="B764" s="65"/>
      <c r="C764" s="65"/>
      <c r="D764" s="65"/>
      <c r="E764" s="66"/>
      <c r="F764" s="65"/>
      <c r="G764" s="67"/>
      <c r="H764" s="63"/>
    </row>
    <row r="765" ht="15.75" customHeight="1">
      <c r="B765" s="65"/>
      <c r="C765" s="65"/>
      <c r="D765" s="65"/>
      <c r="E765" s="66"/>
      <c r="F765" s="65"/>
      <c r="G765" s="67"/>
      <c r="H765" s="63"/>
    </row>
    <row r="766" ht="15.75" customHeight="1">
      <c r="B766" s="65"/>
      <c r="C766" s="65"/>
      <c r="D766" s="65"/>
      <c r="E766" s="66"/>
      <c r="F766" s="65"/>
      <c r="G766" s="67"/>
      <c r="H766" s="63"/>
    </row>
    <row r="767" ht="15.75" customHeight="1">
      <c r="B767" s="65"/>
      <c r="C767" s="65"/>
      <c r="D767" s="65"/>
      <c r="E767" s="66"/>
      <c r="F767" s="65"/>
      <c r="G767" s="67"/>
      <c r="H767" s="63"/>
    </row>
    <row r="768" ht="15.75" customHeight="1">
      <c r="B768" s="65"/>
      <c r="C768" s="65"/>
      <c r="D768" s="65"/>
      <c r="E768" s="66"/>
      <c r="F768" s="65"/>
      <c r="G768" s="67"/>
      <c r="H768" s="63"/>
    </row>
    <row r="769" ht="15.75" customHeight="1">
      <c r="B769" s="65"/>
      <c r="C769" s="65"/>
      <c r="D769" s="65"/>
      <c r="E769" s="66"/>
      <c r="F769" s="65"/>
      <c r="G769" s="67"/>
      <c r="H769" s="63"/>
    </row>
    <row r="770" ht="15.75" customHeight="1">
      <c r="B770" s="65"/>
      <c r="C770" s="65"/>
      <c r="D770" s="65"/>
      <c r="E770" s="66"/>
      <c r="F770" s="65"/>
      <c r="G770" s="67"/>
      <c r="H770" s="63"/>
    </row>
    <row r="771" ht="15.75" customHeight="1">
      <c r="B771" s="65"/>
      <c r="C771" s="65"/>
      <c r="D771" s="65"/>
      <c r="E771" s="66"/>
      <c r="F771" s="65"/>
      <c r="G771" s="67"/>
      <c r="H771" s="63"/>
    </row>
    <row r="772" ht="15.75" customHeight="1">
      <c r="B772" s="65"/>
      <c r="C772" s="65"/>
      <c r="D772" s="65"/>
      <c r="E772" s="66"/>
      <c r="F772" s="65"/>
      <c r="G772" s="67"/>
      <c r="H772" s="63"/>
    </row>
    <row r="773" ht="15.75" customHeight="1">
      <c r="B773" s="65"/>
      <c r="C773" s="65"/>
      <c r="D773" s="65"/>
      <c r="E773" s="66"/>
      <c r="F773" s="65"/>
      <c r="G773" s="67"/>
      <c r="H773" s="63"/>
    </row>
    <row r="774" ht="15.75" customHeight="1">
      <c r="B774" s="65"/>
      <c r="C774" s="65"/>
      <c r="D774" s="65"/>
      <c r="E774" s="66"/>
      <c r="F774" s="65"/>
      <c r="G774" s="67"/>
      <c r="H774" s="63"/>
    </row>
    <row r="775" ht="15.75" customHeight="1">
      <c r="B775" s="65"/>
      <c r="C775" s="65"/>
      <c r="D775" s="65"/>
      <c r="E775" s="66"/>
      <c r="F775" s="65"/>
      <c r="G775" s="67"/>
      <c r="H775" s="63"/>
    </row>
    <row r="776" ht="15.75" customHeight="1">
      <c r="B776" s="65"/>
      <c r="C776" s="65"/>
      <c r="D776" s="65"/>
      <c r="E776" s="66"/>
      <c r="F776" s="65"/>
      <c r="G776" s="67"/>
      <c r="H776" s="63"/>
    </row>
    <row r="777" ht="15.75" customHeight="1">
      <c r="B777" s="65"/>
      <c r="C777" s="65"/>
      <c r="D777" s="65"/>
      <c r="E777" s="66"/>
      <c r="F777" s="65"/>
      <c r="G777" s="67"/>
      <c r="H777" s="63"/>
    </row>
    <row r="778" ht="15.75" customHeight="1">
      <c r="B778" s="65"/>
      <c r="C778" s="65"/>
      <c r="D778" s="65"/>
      <c r="E778" s="66"/>
      <c r="F778" s="65"/>
      <c r="G778" s="67"/>
      <c r="H778" s="63"/>
    </row>
    <row r="779" ht="15.75" customHeight="1">
      <c r="B779" s="65"/>
      <c r="C779" s="65"/>
      <c r="D779" s="65"/>
      <c r="E779" s="66"/>
      <c r="F779" s="65"/>
      <c r="G779" s="67"/>
      <c r="H779" s="63"/>
    </row>
    <row r="780" ht="15.75" customHeight="1">
      <c r="B780" s="65"/>
      <c r="C780" s="65"/>
      <c r="D780" s="65"/>
      <c r="E780" s="66"/>
      <c r="F780" s="65"/>
      <c r="G780" s="67"/>
      <c r="H780" s="63"/>
    </row>
    <row r="781" ht="15.75" customHeight="1">
      <c r="B781" s="65"/>
      <c r="C781" s="65"/>
      <c r="D781" s="65"/>
      <c r="E781" s="66"/>
      <c r="F781" s="65"/>
      <c r="G781" s="67"/>
      <c r="H781" s="63"/>
    </row>
    <row r="782" ht="15.75" customHeight="1">
      <c r="B782" s="65"/>
      <c r="C782" s="65"/>
      <c r="D782" s="65"/>
      <c r="E782" s="66"/>
      <c r="F782" s="65"/>
      <c r="G782" s="67"/>
      <c r="H782" s="63"/>
    </row>
    <row r="783" ht="15.75" customHeight="1">
      <c r="B783" s="65"/>
      <c r="C783" s="65"/>
      <c r="D783" s="65"/>
      <c r="E783" s="66"/>
      <c r="F783" s="65"/>
      <c r="G783" s="67"/>
      <c r="H783" s="63"/>
    </row>
    <row r="784" ht="15.75" customHeight="1">
      <c r="B784" s="65"/>
      <c r="C784" s="65"/>
      <c r="D784" s="65"/>
      <c r="E784" s="66"/>
      <c r="F784" s="65"/>
      <c r="G784" s="67"/>
      <c r="H784" s="63"/>
    </row>
    <row r="785" ht="15.75" customHeight="1">
      <c r="B785" s="65"/>
      <c r="C785" s="65"/>
      <c r="D785" s="65"/>
      <c r="E785" s="66"/>
      <c r="F785" s="65"/>
      <c r="G785" s="67"/>
      <c r="H785" s="63"/>
    </row>
    <row r="786" ht="15.75" customHeight="1">
      <c r="B786" s="65"/>
      <c r="C786" s="65"/>
      <c r="D786" s="65"/>
      <c r="E786" s="66"/>
      <c r="F786" s="65"/>
      <c r="G786" s="67"/>
      <c r="H786" s="63"/>
    </row>
    <row r="787" ht="15.75" customHeight="1">
      <c r="B787" s="65"/>
      <c r="C787" s="65"/>
      <c r="D787" s="65"/>
      <c r="E787" s="66"/>
      <c r="F787" s="65"/>
      <c r="G787" s="67"/>
      <c r="H787" s="63"/>
    </row>
    <row r="788" ht="15.75" customHeight="1">
      <c r="B788" s="65"/>
      <c r="C788" s="65"/>
      <c r="D788" s="65"/>
      <c r="E788" s="66"/>
      <c r="F788" s="65"/>
      <c r="G788" s="67"/>
      <c r="H788" s="63"/>
    </row>
    <row r="789" ht="15.75" customHeight="1">
      <c r="B789" s="65"/>
      <c r="C789" s="65"/>
      <c r="D789" s="65"/>
      <c r="E789" s="66"/>
      <c r="F789" s="65"/>
      <c r="G789" s="67"/>
      <c r="H789" s="63"/>
    </row>
    <row r="790" ht="15.75" customHeight="1">
      <c r="B790" s="65"/>
      <c r="C790" s="65"/>
      <c r="D790" s="65"/>
      <c r="E790" s="66"/>
      <c r="F790" s="65"/>
      <c r="G790" s="67"/>
      <c r="H790" s="63"/>
    </row>
    <row r="791" ht="15.75" customHeight="1">
      <c r="B791" s="65"/>
      <c r="C791" s="65"/>
      <c r="D791" s="65"/>
      <c r="E791" s="66"/>
      <c r="F791" s="65"/>
      <c r="G791" s="67"/>
      <c r="H791" s="63"/>
    </row>
    <row r="792" ht="15.75" customHeight="1">
      <c r="B792" s="65"/>
      <c r="C792" s="65"/>
      <c r="D792" s="65"/>
      <c r="E792" s="66"/>
      <c r="F792" s="65"/>
      <c r="G792" s="67"/>
      <c r="H792" s="63"/>
    </row>
    <row r="793" ht="15.75" customHeight="1">
      <c r="B793" s="65"/>
      <c r="C793" s="65"/>
      <c r="D793" s="65"/>
      <c r="E793" s="66"/>
      <c r="F793" s="65"/>
      <c r="G793" s="67"/>
      <c r="H793" s="63"/>
    </row>
    <row r="794" ht="15.75" customHeight="1">
      <c r="B794" s="65"/>
      <c r="C794" s="65"/>
      <c r="D794" s="65"/>
      <c r="E794" s="66"/>
      <c r="F794" s="65"/>
      <c r="G794" s="67"/>
      <c r="H794" s="63"/>
    </row>
    <row r="795" ht="15.75" customHeight="1">
      <c r="B795" s="65"/>
      <c r="C795" s="65"/>
      <c r="D795" s="65"/>
      <c r="E795" s="66"/>
      <c r="F795" s="65"/>
      <c r="G795" s="67"/>
      <c r="H795" s="63"/>
    </row>
    <row r="796" ht="15.75" customHeight="1">
      <c r="B796" s="65"/>
      <c r="C796" s="65"/>
      <c r="D796" s="65"/>
      <c r="E796" s="66"/>
      <c r="F796" s="65"/>
      <c r="G796" s="67"/>
      <c r="H796" s="63"/>
    </row>
    <row r="797" ht="15.75" customHeight="1">
      <c r="B797" s="65"/>
      <c r="C797" s="65"/>
      <c r="D797" s="65"/>
      <c r="E797" s="66"/>
      <c r="F797" s="65"/>
      <c r="G797" s="67"/>
      <c r="H797" s="63"/>
    </row>
    <row r="798" ht="15.75" customHeight="1">
      <c r="B798" s="65"/>
      <c r="C798" s="65"/>
      <c r="D798" s="65"/>
      <c r="E798" s="66"/>
      <c r="F798" s="65"/>
      <c r="G798" s="67"/>
      <c r="H798" s="63"/>
    </row>
    <row r="799" ht="15.75" customHeight="1">
      <c r="B799" s="65"/>
      <c r="C799" s="65"/>
      <c r="D799" s="65"/>
      <c r="E799" s="66"/>
      <c r="F799" s="65"/>
      <c r="G799" s="67"/>
      <c r="H799" s="63"/>
    </row>
    <row r="800" ht="15.75" customHeight="1">
      <c r="B800" s="65"/>
      <c r="C800" s="65"/>
      <c r="D800" s="65"/>
      <c r="E800" s="66"/>
      <c r="F800" s="65"/>
      <c r="G800" s="67"/>
      <c r="H800" s="63"/>
    </row>
    <row r="801" ht="15.75" customHeight="1">
      <c r="B801" s="65"/>
      <c r="C801" s="65"/>
      <c r="D801" s="65"/>
      <c r="E801" s="66"/>
      <c r="F801" s="65"/>
      <c r="G801" s="67"/>
      <c r="H801" s="63"/>
    </row>
    <row r="802" ht="15.75" customHeight="1">
      <c r="B802" s="65"/>
      <c r="C802" s="65"/>
      <c r="D802" s="65"/>
      <c r="E802" s="66"/>
      <c r="F802" s="65"/>
      <c r="G802" s="67"/>
      <c r="H802" s="63"/>
    </row>
    <row r="803" ht="15.75" customHeight="1">
      <c r="B803" s="65"/>
      <c r="C803" s="65"/>
      <c r="D803" s="65"/>
      <c r="E803" s="66"/>
      <c r="F803" s="65"/>
      <c r="G803" s="67"/>
      <c r="H803" s="63"/>
    </row>
    <row r="804" ht="15.75" customHeight="1">
      <c r="B804" s="65"/>
      <c r="C804" s="65"/>
      <c r="D804" s="65"/>
      <c r="E804" s="66"/>
      <c r="F804" s="65"/>
      <c r="G804" s="67"/>
      <c r="H804" s="63"/>
    </row>
    <row r="805" ht="15.75" customHeight="1">
      <c r="B805" s="65"/>
      <c r="C805" s="65"/>
      <c r="D805" s="65"/>
      <c r="E805" s="66"/>
      <c r="F805" s="65"/>
      <c r="G805" s="67"/>
      <c r="H805" s="63"/>
    </row>
    <row r="806" ht="15.75" customHeight="1">
      <c r="B806" s="65"/>
      <c r="C806" s="65"/>
      <c r="D806" s="65"/>
      <c r="E806" s="66"/>
      <c r="F806" s="65"/>
      <c r="G806" s="67"/>
      <c r="H806" s="63"/>
    </row>
    <row r="807" ht="15.75" customHeight="1">
      <c r="B807" s="65"/>
      <c r="C807" s="65"/>
      <c r="D807" s="65"/>
      <c r="E807" s="66"/>
      <c r="F807" s="65"/>
      <c r="G807" s="67"/>
      <c r="H807" s="63"/>
    </row>
    <row r="808" ht="15.75" customHeight="1">
      <c r="B808" s="65"/>
      <c r="C808" s="65"/>
      <c r="D808" s="65"/>
      <c r="E808" s="66"/>
      <c r="F808" s="65"/>
      <c r="G808" s="67"/>
      <c r="H808" s="63"/>
    </row>
    <row r="809" ht="15.75" customHeight="1">
      <c r="B809" s="65"/>
      <c r="C809" s="65"/>
      <c r="D809" s="65"/>
      <c r="E809" s="66"/>
      <c r="F809" s="65"/>
      <c r="G809" s="67"/>
      <c r="H809" s="63"/>
    </row>
    <row r="810" ht="15.75" customHeight="1">
      <c r="B810" s="65"/>
      <c r="C810" s="65"/>
      <c r="D810" s="65"/>
      <c r="E810" s="66"/>
      <c r="F810" s="65"/>
      <c r="G810" s="67"/>
      <c r="H810" s="63"/>
    </row>
    <row r="811" ht="15.75" customHeight="1">
      <c r="B811" s="65"/>
      <c r="C811" s="65"/>
      <c r="D811" s="65"/>
      <c r="E811" s="66"/>
      <c r="F811" s="65"/>
      <c r="G811" s="67"/>
      <c r="H811" s="63"/>
    </row>
    <row r="812" ht="15.75" customHeight="1">
      <c r="B812" s="65"/>
      <c r="C812" s="65"/>
      <c r="D812" s="65"/>
      <c r="E812" s="66"/>
      <c r="F812" s="65"/>
      <c r="G812" s="67"/>
      <c r="H812" s="63"/>
    </row>
    <row r="813" ht="15.75" customHeight="1">
      <c r="B813" s="65"/>
      <c r="C813" s="65"/>
      <c r="D813" s="65"/>
      <c r="E813" s="66"/>
      <c r="F813" s="65"/>
      <c r="G813" s="67"/>
      <c r="H813" s="63"/>
    </row>
    <row r="814" ht="15.75" customHeight="1">
      <c r="B814" s="65"/>
      <c r="C814" s="65"/>
      <c r="D814" s="65"/>
      <c r="E814" s="66"/>
      <c r="F814" s="65"/>
      <c r="G814" s="67"/>
      <c r="H814" s="63"/>
    </row>
    <row r="815" ht="15.75" customHeight="1">
      <c r="B815" s="65"/>
      <c r="C815" s="65"/>
      <c r="D815" s="65"/>
      <c r="E815" s="66"/>
      <c r="F815" s="65"/>
      <c r="G815" s="67"/>
      <c r="H815" s="63"/>
    </row>
    <row r="816" ht="15.75" customHeight="1">
      <c r="B816" s="65"/>
      <c r="C816" s="65"/>
      <c r="D816" s="65"/>
      <c r="E816" s="66"/>
      <c r="F816" s="65"/>
      <c r="G816" s="67"/>
      <c r="H816" s="63"/>
    </row>
    <row r="817" ht="15.75" customHeight="1">
      <c r="B817" s="65"/>
      <c r="C817" s="65"/>
      <c r="D817" s="65"/>
      <c r="E817" s="66"/>
      <c r="F817" s="65"/>
      <c r="G817" s="67"/>
      <c r="H817" s="63"/>
    </row>
    <row r="818" ht="15.75" customHeight="1">
      <c r="B818" s="65"/>
      <c r="C818" s="65"/>
      <c r="D818" s="65"/>
      <c r="E818" s="66"/>
      <c r="F818" s="65"/>
      <c r="G818" s="67"/>
      <c r="H818" s="63"/>
    </row>
    <row r="819" ht="15.75" customHeight="1">
      <c r="B819" s="65"/>
      <c r="C819" s="65"/>
      <c r="D819" s="65"/>
      <c r="E819" s="66"/>
      <c r="F819" s="65"/>
      <c r="G819" s="67"/>
      <c r="H819" s="63"/>
    </row>
    <row r="820" ht="15.75" customHeight="1">
      <c r="B820" s="65"/>
      <c r="C820" s="65"/>
      <c r="D820" s="65"/>
      <c r="E820" s="66"/>
      <c r="F820" s="65"/>
      <c r="G820" s="67"/>
      <c r="H820" s="63"/>
    </row>
    <row r="821" ht="15.75" customHeight="1">
      <c r="B821" s="65"/>
      <c r="C821" s="65"/>
      <c r="D821" s="65"/>
      <c r="E821" s="66"/>
      <c r="F821" s="65"/>
      <c r="G821" s="67"/>
      <c r="H821" s="63"/>
    </row>
    <row r="822" ht="15.75" customHeight="1">
      <c r="B822" s="65"/>
      <c r="C822" s="65"/>
      <c r="D822" s="65"/>
      <c r="E822" s="66"/>
      <c r="F822" s="65"/>
      <c r="G822" s="67"/>
      <c r="H822" s="63"/>
    </row>
    <row r="823" ht="15.75" customHeight="1">
      <c r="B823" s="65"/>
      <c r="C823" s="65"/>
      <c r="D823" s="65"/>
      <c r="E823" s="66"/>
      <c r="F823" s="65"/>
      <c r="G823" s="67"/>
      <c r="H823" s="63"/>
    </row>
    <row r="824" ht="15.75" customHeight="1">
      <c r="B824" s="65"/>
      <c r="C824" s="65"/>
      <c r="D824" s="65"/>
      <c r="E824" s="66"/>
      <c r="F824" s="65"/>
      <c r="G824" s="67"/>
      <c r="H824" s="63"/>
    </row>
    <row r="825" ht="15.75" customHeight="1">
      <c r="B825" s="65"/>
      <c r="C825" s="65"/>
      <c r="D825" s="65"/>
      <c r="E825" s="66"/>
      <c r="F825" s="65"/>
      <c r="G825" s="67"/>
      <c r="H825" s="63"/>
    </row>
    <row r="826" ht="15.75" customHeight="1">
      <c r="B826" s="65"/>
      <c r="C826" s="65"/>
      <c r="D826" s="65"/>
      <c r="E826" s="66"/>
      <c r="F826" s="65"/>
      <c r="G826" s="67"/>
      <c r="H826" s="63"/>
    </row>
    <row r="827" ht="15.75" customHeight="1">
      <c r="B827" s="65"/>
      <c r="C827" s="65"/>
      <c r="D827" s="65"/>
      <c r="E827" s="66"/>
      <c r="F827" s="65"/>
      <c r="G827" s="67"/>
      <c r="H827" s="63"/>
    </row>
    <row r="828" ht="15.75" customHeight="1">
      <c r="B828" s="65"/>
      <c r="C828" s="65"/>
      <c r="D828" s="65"/>
      <c r="E828" s="66"/>
      <c r="F828" s="65"/>
      <c r="G828" s="67"/>
      <c r="H828" s="63"/>
    </row>
    <row r="829" ht="15.75" customHeight="1">
      <c r="B829" s="65"/>
      <c r="C829" s="65"/>
      <c r="D829" s="65"/>
      <c r="E829" s="66"/>
      <c r="F829" s="65"/>
      <c r="G829" s="67"/>
      <c r="H829" s="63"/>
    </row>
    <row r="830" ht="15.75" customHeight="1">
      <c r="B830" s="65"/>
      <c r="C830" s="65"/>
      <c r="D830" s="65"/>
      <c r="E830" s="66"/>
      <c r="F830" s="65"/>
      <c r="G830" s="67"/>
      <c r="H830" s="63"/>
    </row>
    <row r="831" ht="15.75" customHeight="1">
      <c r="B831" s="65"/>
      <c r="C831" s="65"/>
      <c r="D831" s="65"/>
      <c r="E831" s="66"/>
      <c r="F831" s="65"/>
      <c r="G831" s="67"/>
      <c r="H831" s="63"/>
    </row>
    <row r="832" ht="15.75" customHeight="1">
      <c r="B832" s="65"/>
      <c r="C832" s="65"/>
      <c r="D832" s="65"/>
      <c r="E832" s="66"/>
      <c r="F832" s="65"/>
      <c r="G832" s="67"/>
      <c r="H832" s="63"/>
    </row>
    <row r="833" ht="15.75" customHeight="1">
      <c r="B833" s="65"/>
      <c r="C833" s="65"/>
      <c r="D833" s="65"/>
      <c r="E833" s="66"/>
      <c r="F833" s="65"/>
      <c r="G833" s="67"/>
      <c r="H833" s="63"/>
    </row>
    <row r="834" ht="15.75" customHeight="1">
      <c r="B834" s="65"/>
      <c r="C834" s="65"/>
      <c r="D834" s="65"/>
      <c r="E834" s="66"/>
      <c r="F834" s="65"/>
      <c r="G834" s="67"/>
      <c r="H834" s="63"/>
    </row>
    <row r="835" ht="15.75" customHeight="1">
      <c r="B835" s="65"/>
      <c r="C835" s="65"/>
      <c r="D835" s="65"/>
      <c r="E835" s="66"/>
      <c r="F835" s="65"/>
      <c r="G835" s="67"/>
      <c r="H835" s="63"/>
    </row>
    <row r="836" ht="15.75" customHeight="1">
      <c r="B836" s="65"/>
      <c r="C836" s="65"/>
      <c r="D836" s="65"/>
      <c r="E836" s="66"/>
      <c r="F836" s="65"/>
      <c r="G836" s="67"/>
      <c r="H836" s="63"/>
    </row>
    <row r="837" ht="15.75" customHeight="1">
      <c r="B837" s="65"/>
      <c r="C837" s="65"/>
      <c r="D837" s="65"/>
      <c r="E837" s="66"/>
      <c r="F837" s="65"/>
      <c r="G837" s="67"/>
      <c r="H837" s="63"/>
    </row>
    <row r="838" ht="15.75" customHeight="1">
      <c r="B838" s="65"/>
      <c r="C838" s="65"/>
      <c r="D838" s="65"/>
      <c r="E838" s="66"/>
      <c r="F838" s="65"/>
      <c r="G838" s="67"/>
      <c r="H838" s="63"/>
    </row>
    <row r="839" ht="15.75" customHeight="1">
      <c r="B839" s="65"/>
      <c r="C839" s="65"/>
      <c r="D839" s="65"/>
      <c r="E839" s="66"/>
      <c r="F839" s="65"/>
      <c r="G839" s="67"/>
      <c r="H839" s="63"/>
    </row>
    <row r="840" ht="15.75" customHeight="1">
      <c r="B840" s="65"/>
      <c r="C840" s="65"/>
      <c r="D840" s="65"/>
      <c r="E840" s="66"/>
      <c r="F840" s="65"/>
      <c r="G840" s="67"/>
      <c r="H840" s="63"/>
    </row>
    <row r="841" ht="15.75" customHeight="1">
      <c r="B841" s="65"/>
      <c r="C841" s="65"/>
      <c r="D841" s="65"/>
      <c r="E841" s="66"/>
      <c r="F841" s="65"/>
      <c r="G841" s="67"/>
      <c r="H841" s="63"/>
    </row>
    <row r="842" ht="15.75" customHeight="1">
      <c r="B842" s="65"/>
      <c r="C842" s="65"/>
      <c r="D842" s="65"/>
      <c r="E842" s="66"/>
      <c r="F842" s="65"/>
      <c r="G842" s="67"/>
      <c r="H842" s="63"/>
    </row>
    <row r="843" ht="15.75" customHeight="1">
      <c r="B843" s="65"/>
      <c r="C843" s="65"/>
      <c r="D843" s="65"/>
      <c r="E843" s="66"/>
      <c r="F843" s="65"/>
      <c r="G843" s="67"/>
      <c r="H843" s="63"/>
    </row>
    <row r="844" ht="15.75" customHeight="1">
      <c r="B844" s="65"/>
      <c r="C844" s="65"/>
      <c r="D844" s="65"/>
      <c r="E844" s="66"/>
      <c r="F844" s="65"/>
      <c r="G844" s="67"/>
      <c r="H844" s="63"/>
    </row>
    <row r="845" ht="15.75" customHeight="1">
      <c r="B845" s="65"/>
      <c r="C845" s="65"/>
      <c r="D845" s="65"/>
      <c r="E845" s="66"/>
      <c r="F845" s="65"/>
      <c r="G845" s="67"/>
      <c r="H845" s="63"/>
    </row>
    <row r="846" ht="15.75" customHeight="1">
      <c r="B846" s="65"/>
      <c r="C846" s="65"/>
      <c r="D846" s="65"/>
      <c r="E846" s="66"/>
      <c r="F846" s="65"/>
      <c r="G846" s="67"/>
      <c r="H846" s="63"/>
    </row>
    <row r="847" ht="15.75" customHeight="1">
      <c r="B847" s="65"/>
      <c r="C847" s="65"/>
      <c r="D847" s="65"/>
      <c r="E847" s="66"/>
      <c r="F847" s="65"/>
      <c r="G847" s="67"/>
      <c r="H847" s="63"/>
    </row>
    <row r="848" ht="15.75" customHeight="1">
      <c r="B848" s="65"/>
      <c r="C848" s="65"/>
      <c r="D848" s="65"/>
      <c r="E848" s="66"/>
      <c r="F848" s="65"/>
      <c r="G848" s="67"/>
      <c r="H848" s="63"/>
    </row>
    <row r="849" ht="15.75" customHeight="1">
      <c r="B849" s="65"/>
      <c r="C849" s="65"/>
      <c r="D849" s="65"/>
      <c r="E849" s="66"/>
      <c r="F849" s="65"/>
      <c r="G849" s="67"/>
      <c r="H849" s="63"/>
    </row>
    <row r="850" ht="15.75" customHeight="1">
      <c r="B850" s="65"/>
      <c r="C850" s="65"/>
      <c r="D850" s="65"/>
      <c r="E850" s="66"/>
      <c r="F850" s="65"/>
      <c r="G850" s="67"/>
      <c r="H850" s="63"/>
    </row>
    <row r="851" ht="15.75" customHeight="1">
      <c r="B851" s="65"/>
      <c r="C851" s="65"/>
      <c r="D851" s="65"/>
      <c r="E851" s="66"/>
      <c r="F851" s="65"/>
      <c r="G851" s="67"/>
      <c r="H851" s="63"/>
    </row>
    <row r="852" ht="15.75" customHeight="1">
      <c r="B852" s="65"/>
      <c r="C852" s="65"/>
      <c r="D852" s="65"/>
      <c r="E852" s="66"/>
      <c r="F852" s="65"/>
      <c r="G852" s="67"/>
      <c r="H852" s="63"/>
    </row>
    <row r="853" ht="15.75" customHeight="1">
      <c r="B853" s="65"/>
      <c r="C853" s="65"/>
      <c r="D853" s="65"/>
      <c r="E853" s="66"/>
      <c r="F853" s="65"/>
      <c r="G853" s="67"/>
      <c r="H853" s="63"/>
    </row>
    <row r="854" ht="15.75" customHeight="1">
      <c r="B854" s="65"/>
      <c r="C854" s="65"/>
      <c r="D854" s="65"/>
      <c r="E854" s="66"/>
      <c r="F854" s="65"/>
      <c r="G854" s="67"/>
      <c r="H854" s="63"/>
    </row>
    <row r="855" ht="15.75" customHeight="1">
      <c r="B855" s="65"/>
      <c r="C855" s="65"/>
      <c r="D855" s="65"/>
      <c r="E855" s="66"/>
      <c r="F855" s="65"/>
      <c r="G855" s="67"/>
      <c r="H855" s="63"/>
    </row>
    <row r="856" ht="15.75" customHeight="1">
      <c r="B856" s="65"/>
      <c r="C856" s="65"/>
      <c r="D856" s="65"/>
      <c r="E856" s="66"/>
      <c r="F856" s="65"/>
      <c r="G856" s="67"/>
      <c r="H856" s="63"/>
    </row>
    <row r="857" ht="15.75" customHeight="1">
      <c r="B857" s="65"/>
      <c r="C857" s="65"/>
      <c r="D857" s="65"/>
      <c r="E857" s="66"/>
      <c r="F857" s="65"/>
      <c r="G857" s="67"/>
      <c r="H857" s="63"/>
    </row>
    <row r="858" ht="15.75" customHeight="1">
      <c r="B858" s="65"/>
      <c r="C858" s="65"/>
      <c r="D858" s="65"/>
      <c r="E858" s="66"/>
      <c r="F858" s="65"/>
      <c r="G858" s="67"/>
      <c r="H858" s="63"/>
    </row>
    <row r="859" ht="15.75" customHeight="1">
      <c r="B859" s="65"/>
      <c r="C859" s="65"/>
      <c r="D859" s="65"/>
      <c r="E859" s="66"/>
      <c r="F859" s="65"/>
      <c r="G859" s="67"/>
      <c r="H859" s="63"/>
    </row>
    <row r="860" ht="15.75" customHeight="1">
      <c r="B860" s="65"/>
      <c r="C860" s="65"/>
      <c r="D860" s="65"/>
      <c r="E860" s="66"/>
      <c r="F860" s="65"/>
      <c r="G860" s="67"/>
      <c r="H860" s="63"/>
    </row>
    <row r="861" ht="15.75" customHeight="1">
      <c r="B861" s="65"/>
      <c r="C861" s="65"/>
      <c r="D861" s="65"/>
      <c r="E861" s="66"/>
      <c r="F861" s="65"/>
      <c r="G861" s="67"/>
      <c r="H861" s="63"/>
    </row>
    <row r="862" ht="15.75" customHeight="1">
      <c r="B862" s="65"/>
      <c r="C862" s="65"/>
      <c r="D862" s="65"/>
      <c r="E862" s="66"/>
      <c r="F862" s="65"/>
      <c r="G862" s="67"/>
      <c r="H862" s="63"/>
    </row>
    <row r="863" ht="15.75" customHeight="1">
      <c r="B863" s="65"/>
      <c r="C863" s="65"/>
      <c r="D863" s="65"/>
      <c r="E863" s="66"/>
      <c r="F863" s="65"/>
      <c r="G863" s="67"/>
      <c r="H863" s="63"/>
    </row>
    <row r="864" ht="15.75" customHeight="1">
      <c r="B864" s="65"/>
      <c r="C864" s="65"/>
      <c r="D864" s="65"/>
      <c r="E864" s="66"/>
      <c r="F864" s="65"/>
      <c r="G864" s="67"/>
      <c r="H864" s="63"/>
    </row>
    <row r="865" ht="15.75" customHeight="1">
      <c r="B865" s="65"/>
      <c r="C865" s="65"/>
      <c r="D865" s="65"/>
      <c r="E865" s="66"/>
      <c r="F865" s="65"/>
      <c r="G865" s="67"/>
      <c r="H865" s="63"/>
    </row>
    <row r="866" ht="15.75" customHeight="1">
      <c r="B866" s="65"/>
      <c r="C866" s="65"/>
      <c r="D866" s="65"/>
      <c r="E866" s="66"/>
      <c r="F866" s="65"/>
      <c r="G866" s="67"/>
      <c r="H866" s="63"/>
    </row>
    <row r="867" ht="15.75" customHeight="1">
      <c r="B867" s="65"/>
      <c r="C867" s="65"/>
      <c r="D867" s="65"/>
      <c r="E867" s="66"/>
      <c r="F867" s="65"/>
      <c r="G867" s="67"/>
      <c r="H867" s="63"/>
    </row>
    <row r="868" ht="15.75" customHeight="1">
      <c r="B868" s="65"/>
      <c r="C868" s="65"/>
      <c r="D868" s="65"/>
      <c r="E868" s="66"/>
      <c r="F868" s="65"/>
      <c r="G868" s="67"/>
      <c r="H868" s="63"/>
    </row>
    <row r="869" ht="15.75" customHeight="1">
      <c r="B869" s="65"/>
      <c r="C869" s="65"/>
      <c r="D869" s="65"/>
      <c r="E869" s="66"/>
      <c r="F869" s="65"/>
      <c r="G869" s="67"/>
      <c r="H869" s="63"/>
    </row>
    <row r="870" ht="15.75" customHeight="1">
      <c r="B870" s="65"/>
      <c r="C870" s="65"/>
      <c r="D870" s="65"/>
      <c r="E870" s="66"/>
      <c r="F870" s="65"/>
      <c r="G870" s="67"/>
      <c r="H870" s="63"/>
    </row>
    <row r="871" ht="15.75" customHeight="1">
      <c r="B871" s="65"/>
      <c r="C871" s="65"/>
      <c r="D871" s="65"/>
      <c r="E871" s="66"/>
      <c r="F871" s="65"/>
      <c r="G871" s="67"/>
      <c r="H871" s="63"/>
    </row>
    <row r="872" ht="15.75" customHeight="1">
      <c r="B872" s="65"/>
      <c r="C872" s="65"/>
      <c r="D872" s="65"/>
      <c r="E872" s="66"/>
      <c r="F872" s="65"/>
      <c r="G872" s="67"/>
      <c r="H872" s="63"/>
    </row>
    <row r="873" ht="15.75" customHeight="1">
      <c r="B873" s="65"/>
      <c r="C873" s="65"/>
      <c r="D873" s="65"/>
      <c r="E873" s="66"/>
      <c r="F873" s="65"/>
      <c r="G873" s="67"/>
      <c r="H873" s="63"/>
    </row>
    <row r="874" ht="15.75" customHeight="1">
      <c r="B874" s="65"/>
      <c r="C874" s="65"/>
      <c r="D874" s="65"/>
      <c r="E874" s="66"/>
      <c r="F874" s="65"/>
      <c r="G874" s="67"/>
      <c r="H874" s="63"/>
    </row>
    <row r="875" ht="15.75" customHeight="1">
      <c r="B875" s="65"/>
      <c r="C875" s="65"/>
      <c r="D875" s="65"/>
      <c r="E875" s="66"/>
      <c r="F875" s="65"/>
      <c r="G875" s="67"/>
      <c r="H875" s="63"/>
    </row>
    <row r="876" ht="15.75" customHeight="1">
      <c r="B876" s="65"/>
      <c r="C876" s="65"/>
      <c r="D876" s="65"/>
      <c r="E876" s="66"/>
      <c r="F876" s="65"/>
      <c r="G876" s="67"/>
      <c r="H876" s="63"/>
    </row>
    <row r="877" ht="15.75" customHeight="1">
      <c r="B877" s="65"/>
      <c r="C877" s="65"/>
      <c r="D877" s="65"/>
      <c r="E877" s="66"/>
      <c r="F877" s="65"/>
      <c r="G877" s="67"/>
      <c r="H877" s="63"/>
    </row>
    <row r="878" ht="15.75" customHeight="1">
      <c r="B878" s="65"/>
      <c r="C878" s="65"/>
      <c r="D878" s="65"/>
      <c r="E878" s="66"/>
      <c r="F878" s="65"/>
      <c r="G878" s="67"/>
      <c r="H878" s="63"/>
    </row>
    <row r="879" ht="15.75" customHeight="1">
      <c r="B879" s="65"/>
      <c r="C879" s="65"/>
      <c r="D879" s="65"/>
      <c r="E879" s="66"/>
      <c r="F879" s="65"/>
      <c r="G879" s="67"/>
      <c r="H879" s="63"/>
    </row>
    <row r="880" ht="15.75" customHeight="1">
      <c r="B880" s="65"/>
      <c r="C880" s="65"/>
      <c r="D880" s="65"/>
      <c r="E880" s="66"/>
      <c r="F880" s="65"/>
      <c r="G880" s="67"/>
      <c r="H880" s="63"/>
    </row>
    <row r="881" ht="15.75" customHeight="1">
      <c r="B881" s="65"/>
      <c r="C881" s="65"/>
      <c r="D881" s="65"/>
      <c r="E881" s="66"/>
      <c r="F881" s="65"/>
      <c r="G881" s="67"/>
      <c r="H881" s="63"/>
    </row>
    <row r="882" ht="15.75" customHeight="1">
      <c r="B882" s="65"/>
      <c r="C882" s="65"/>
      <c r="D882" s="65"/>
      <c r="E882" s="66"/>
      <c r="F882" s="65"/>
      <c r="G882" s="67"/>
      <c r="H882" s="63"/>
    </row>
    <row r="883" ht="15.75" customHeight="1">
      <c r="B883" s="65"/>
      <c r="C883" s="65"/>
      <c r="D883" s="65"/>
      <c r="E883" s="66"/>
      <c r="F883" s="65"/>
      <c r="G883" s="67"/>
      <c r="H883" s="63"/>
    </row>
    <row r="884" ht="15.75" customHeight="1">
      <c r="B884" s="65"/>
      <c r="C884" s="65"/>
      <c r="D884" s="65"/>
      <c r="E884" s="66"/>
      <c r="F884" s="65"/>
      <c r="G884" s="67"/>
      <c r="H884" s="63"/>
    </row>
    <row r="885" ht="15.75" customHeight="1">
      <c r="B885" s="65"/>
      <c r="C885" s="65"/>
      <c r="D885" s="65"/>
      <c r="E885" s="66"/>
      <c r="F885" s="65"/>
      <c r="G885" s="67"/>
      <c r="H885" s="63"/>
    </row>
    <row r="886" ht="15.75" customHeight="1">
      <c r="B886" s="65"/>
      <c r="C886" s="65"/>
      <c r="D886" s="65"/>
      <c r="E886" s="66"/>
      <c r="F886" s="65"/>
      <c r="G886" s="67"/>
      <c r="H886" s="63"/>
    </row>
    <row r="887" ht="15.75" customHeight="1">
      <c r="B887" s="65"/>
      <c r="C887" s="65"/>
      <c r="D887" s="65"/>
      <c r="E887" s="66"/>
      <c r="F887" s="65"/>
      <c r="G887" s="67"/>
      <c r="H887" s="63"/>
    </row>
    <row r="888" ht="15.75" customHeight="1">
      <c r="B888" s="65"/>
      <c r="C888" s="65"/>
      <c r="D888" s="65"/>
      <c r="E888" s="66"/>
      <c r="F888" s="65"/>
      <c r="G888" s="67"/>
      <c r="H888" s="63"/>
    </row>
    <row r="889" ht="15.75" customHeight="1">
      <c r="B889" s="65"/>
      <c r="C889" s="65"/>
      <c r="D889" s="65"/>
      <c r="E889" s="66"/>
      <c r="F889" s="65"/>
      <c r="G889" s="67"/>
      <c r="H889" s="63"/>
    </row>
    <row r="890" ht="15.75" customHeight="1">
      <c r="B890" s="65"/>
      <c r="C890" s="65"/>
      <c r="D890" s="65"/>
      <c r="E890" s="66"/>
      <c r="F890" s="65"/>
      <c r="G890" s="67"/>
      <c r="H890" s="63"/>
    </row>
    <row r="891" ht="15.75" customHeight="1">
      <c r="B891" s="65"/>
      <c r="C891" s="65"/>
      <c r="D891" s="65"/>
      <c r="E891" s="66"/>
      <c r="F891" s="65"/>
      <c r="G891" s="67"/>
      <c r="H891" s="63"/>
    </row>
    <row r="892" ht="15.75" customHeight="1">
      <c r="B892" s="65"/>
      <c r="C892" s="65"/>
      <c r="D892" s="65"/>
      <c r="E892" s="66"/>
      <c r="F892" s="65"/>
      <c r="G892" s="67"/>
      <c r="H892" s="63"/>
    </row>
    <row r="893" ht="15.75" customHeight="1">
      <c r="B893" s="65"/>
      <c r="C893" s="65"/>
      <c r="D893" s="65"/>
      <c r="E893" s="66"/>
      <c r="F893" s="65"/>
      <c r="G893" s="67"/>
      <c r="H893" s="63"/>
    </row>
    <row r="894" ht="15.75" customHeight="1">
      <c r="B894" s="65"/>
      <c r="C894" s="65"/>
      <c r="D894" s="65"/>
      <c r="E894" s="66"/>
      <c r="F894" s="65"/>
      <c r="G894" s="67"/>
      <c r="H894" s="63"/>
    </row>
    <row r="895" ht="15.75" customHeight="1">
      <c r="B895" s="65"/>
      <c r="C895" s="65"/>
      <c r="D895" s="65"/>
      <c r="E895" s="66"/>
      <c r="F895" s="65"/>
      <c r="G895" s="67"/>
      <c r="H895" s="63"/>
    </row>
    <row r="896" ht="15.75" customHeight="1">
      <c r="B896" s="65"/>
      <c r="C896" s="65"/>
      <c r="D896" s="65"/>
      <c r="E896" s="66"/>
      <c r="F896" s="65"/>
      <c r="G896" s="67"/>
      <c r="H896" s="63"/>
    </row>
    <row r="897" ht="15.75" customHeight="1">
      <c r="B897" s="65"/>
      <c r="C897" s="65"/>
      <c r="D897" s="65"/>
      <c r="E897" s="66"/>
      <c r="F897" s="65"/>
      <c r="G897" s="67"/>
      <c r="H897" s="63"/>
    </row>
    <row r="898" ht="15.75" customHeight="1">
      <c r="B898" s="65"/>
      <c r="C898" s="65"/>
      <c r="D898" s="65"/>
      <c r="E898" s="66"/>
      <c r="F898" s="65"/>
      <c r="G898" s="67"/>
      <c r="H898" s="63"/>
    </row>
    <row r="899" ht="15.75" customHeight="1">
      <c r="B899" s="65"/>
      <c r="C899" s="65"/>
      <c r="D899" s="65"/>
      <c r="E899" s="66"/>
      <c r="F899" s="65"/>
      <c r="G899" s="67"/>
      <c r="H899" s="63"/>
    </row>
    <row r="900" ht="15.75" customHeight="1">
      <c r="B900" s="65"/>
      <c r="C900" s="65"/>
      <c r="D900" s="65"/>
      <c r="E900" s="66"/>
      <c r="F900" s="65"/>
      <c r="G900" s="67"/>
      <c r="H900" s="63"/>
    </row>
    <row r="901" ht="15.75" customHeight="1">
      <c r="B901" s="65"/>
      <c r="C901" s="65"/>
      <c r="D901" s="65"/>
      <c r="E901" s="66"/>
      <c r="F901" s="65"/>
      <c r="G901" s="67"/>
      <c r="H901" s="63"/>
    </row>
    <row r="902" ht="15.75" customHeight="1">
      <c r="B902" s="65"/>
      <c r="C902" s="65"/>
      <c r="D902" s="65"/>
      <c r="E902" s="66"/>
      <c r="F902" s="65"/>
      <c r="G902" s="67"/>
      <c r="H902" s="63"/>
    </row>
    <row r="903" ht="15.75" customHeight="1">
      <c r="B903" s="65"/>
      <c r="C903" s="65"/>
      <c r="D903" s="65"/>
      <c r="E903" s="66"/>
      <c r="F903" s="65"/>
      <c r="G903" s="67"/>
      <c r="H903" s="63"/>
    </row>
    <row r="904" ht="15.75" customHeight="1">
      <c r="B904" s="65"/>
      <c r="C904" s="65"/>
      <c r="D904" s="65"/>
      <c r="E904" s="66"/>
      <c r="F904" s="65"/>
      <c r="G904" s="67"/>
      <c r="H904" s="63"/>
    </row>
    <row r="905" ht="15.75" customHeight="1">
      <c r="B905" s="65"/>
      <c r="C905" s="65"/>
      <c r="D905" s="65"/>
      <c r="E905" s="66"/>
      <c r="F905" s="65"/>
      <c r="G905" s="67"/>
      <c r="H905" s="63"/>
    </row>
    <row r="906" ht="15.75" customHeight="1">
      <c r="B906" s="65"/>
      <c r="C906" s="65"/>
      <c r="D906" s="65"/>
      <c r="E906" s="66"/>
      <c r="F906" s="65"/>
      <c r="G906" s="67"/>
      <c r="H906" s="63"/>
    </row>
    <row r="907" ht="15.75" customHeight="1">
      <c r="B907" s="65"/>
      <c r="C907" s="65"/>
      <c r="D907" s="65"/>
      <c r="E907" s="66"/>
      <c r="F907" s="65"/>
      <c r="G907" s="67"/>
      <c r="H907" s="63"/>
    </row>
    <row r="908" ht="15.75" customHeight="1">
      <c r="B908" s="65"/>
      <c r="C908" s="65"/>
      <c r="D908" s="65"/>
      <c r="E908" s="66"/>
      <c r="F908" s="65"/>
      <c r="G908" s="67"/>
      <c r="H908" s="63"/>
    </row>
    <row r="909" ht="15.75" customHeight="1">
      <c r="B909" s="65"/>
      <c r="C909" s="65"/>
      <c r="D909" s="65"/>
      <c r="E909" s="66"/>
      <c r="F909" s="65"/>
      <c r="G909" s="67"/>
      <c r="H909" s="63"/>
    </row>
    <row r="910" ht="15.75" customHeight="1">
      <c r="B910" s="65"/>
      <c r="C910" s="65"/>
      <c r="D910" s="65"/>
      <c r="E910" s="66"/>
      <c r="F910" s="65"/>
      <c r="G910" s="67"/>
      <c r="H910" s="63"/>
    </row>
    <row r="911" ht="15.75" customHeight="1">
      <c r="B911" s="65"/>
      <c r="C911" s="65"/>
      <c r="D911" s="65"/>
      <c r="E911" s="66"/>
      <c r="F911" s="65"/>
      <c r="G911" s="67"/>
      <c r="H911" s="63"/>
    </row>
    <row r="912" ht="15.75" customHeight="1">
      <c r="B912" s="65"/>
      <c r="C912" s="65"/>
      <c r="D912" s="65"/>
      <c r="E912" s="66"/>
      <c r="F912" s="65"/>
      <c r="G912" s="67"/>
      <c r="H912" s="63"/>
    </row>
    <row r="913" ht="15.75" customHeight="1">
      <c r="B913" s="65"/>
      <c r="C913" s="65"/>
      <c r="D913" s="65"/>
      <c r="E913" s="66"/>
      <c r="F913" s="65"/>
      <c r="G913" s="67"/>
      <c r="H913" s="63"/>
    </row>
    <row r="914" ht="15.75" customHeight="1">
      <c r="B914" s="65"/>
      <c r="C914" s="65"/>
      <c r="D914" s="65"/>
      <c r="E914" s="66"/>
      <c r="F914" s="65"/>
      <c r="G914" s="67"/>
      <c r="H914" s="63"/>
    </row>
    <row r="915" ht="15.75" customHeight="1">
      <c r="B915" s="65"/>
      <c r="C915" s="65"/>
      <c r="D915" s="65"/>
      <c r="E915" s="66"/>
      <c r="F915" s="65"/>
      <c r="G915" s="67"/>
      <c r="H915" s="63"/>
    </row>
    <row r="916" ht="15.75" customHeight="1">
      <c r="B916" s="65"/>
      <c r="C916" s="65"/>
      <c r="D916" s="65"/>
      <c r="E916" s="66"/>
      <c r="F916" s="65"/>
      <c r="G916" s="67"/>
      <c r="H916" s="63"/>
    </row>
    <row r="917" ht="15.75" customHeight="1">
      <c r="B917" s="65"/>
      <c r="C917" s="65"/>
      <c r="D917" s="65"/>
      <c r="E917" s="66"/>
      <c r="F917" s="65"/>
      <c r="G917" s="67"/>
      <c r="H917" s="63"/>
    </row>
    <row r="918" ht="15.75" customHeight="1">
      <c r="B918" s="65"/>
      <c r="C918" s="65"/>
      <c r="D918" s="65"/>
      <c r="E918" s="66"/>
      <c r="F918" s="65"/>
      <c r="G918" s="67"/>
      <c r="H918" s="63"/>
    </row>
    <row r="919" ht="15.75" customHeight="1">
      <c r="B919" s="65"/>
      <c r="C919" s="65"/>
      <c r="D919" s="65"/>
      <c r="E919" s="66"/>
      <c r="F919" s="65"/>
      <c r="G919" s="67"/>
      <c r="H919" s="63"/>
    </row>
    <row r="920" ht="15.75" customHeight="1">
      <c r="B920" s="65"/>
      <c r="C920" s="65"/>
      <c r="D920" s="65"/>
      <c r="E920" s="66"/>
      <c r="F920" s="65"/>
      <c r="G920" s="67"/>
      <c r="H920" s="63"/>
    </row>
    <row r="921" ht="15.75" customHeight="1">
      <c r="B921" s="65"/>
      <c r="C921" s="65"/>
      <c r="D921" s="65"/>
      <c r="E921" s="66"/>
      <c r="F921" s="65"/>
      <c r="G921" s="67"/>
      <c r="H921" s="63"/>
    </row>
    <row r="922" ht="15.75" customHeight="1">
      <c r="B922" s="65"/>
      <c r="C922" s="65"/>
      <c r="D922" s="65"/>
      <c r="E922" s="66"/>
      <c r="F922" s="65"/>
      <c r="G922" s="67"/>
      <c r="H922" s="63"/>
    </row>
    <row r="923" ht="15.75" customHeight="1">
      <c r="B923" s="65"/>
      <c r="C923" s="65"/>
      <c r="D923" s="65"/>
      <c r="E923" s="66"/>
      <c r="F923" s="65"/>
      <c r="G923" s="67"/>
      <c r="H923" s="63"/>
    </row>
    <row r="924" ht="15.75" customHeight="1">
      <c r="B924" s="65"/>
      <c r="C924" s="65"/>
      <c r="D924" s="65"/>
      <c r="E924" s="66"/>
      <c r="F924" s="65"/>
      <c r="G924" s="67"/>
      <c r="H924" s="63"/>
    </row>
    <row r="925" ht="15.75" customHeight="1">
      <c r="B925" s="65"/>
      <c r="C925" s="65"/>
      <c r="D925" s="65"/>
      <c r="E925" s="66"/>
      <c r="F925" s="65"/>
      <c r="G925" s="67"/>
      <c r="H925" s="63"/>
    </row>
    <row r="926" ht="15.75" customHeight="1">
      <c r="B926" s="65"/>
      <c r="C926" s="65"/>
      <c r="D926" s="65"/>
      <c r="E926" s="66"/>
      <c r="F926" s="65"/>
      <c r="G926" s="67"/>
      <c r="H926" s="63"/>
    </row>
    <row r="927" ht="15.75" customHeight="1">
      <c r="B927" s="65"/>
      <c r="C927" s="65"/>
      <c r="D927" s="65"/>
      <c r="E927" s="66"/>
      <c r="F927" s="65"/>
      <c r="G927" s="67"/>
      <c r="H927" s="63"/>
    </row>
    <row r="928" ht="15.75" customHeight="1">
      <c r="B928" s="65"/>
      <c r="C928" s="65"/>
      <c r="D928" s="65"/>
      <c r="E928" s="66"/>
      <c r="F928" s="65"/>
      <c r="G928" s="67"/>
      <c r="H928" s="63"/>
    </row>
    <row r="929" ht="15.75" customHeight="1">
      <c r="B929" s="65"/>
      <c r="C929" s="65"/>
      <c r="D929" s="65"/>
      <c r="E929" s="66"/>
      <c r="F929" s="65"/>
      <c r="G929" s="67"/>
      <c r="H929" s="63"/>
    </row>
    <row r="930" ht="15.75" customHeight="1">
      <c r="B930" s="65"/>
      <c r="C930" s="65"/>
      <c r="D930" s="65"/>
      <c r="E930" s="66"/>
      <c r="F930" s="65"/>
      <c r="G930" s="67"/>
      <c r="H930" s="63"/>
    </row>
    <row r="931" ht="15.75" customHeight="1">
      <c r="B931" s="65"/>
      <c r="C931" s="65"/>
      <c r="D931" s="65"/>
      <c r="E931" s="66"/>
      <c r="F931" s="65"/>
      <c r="G931" s="67"/>
      <c r="H931" s="63"/>
    </row>
    <row r="932" ht="15.75" customHeight="1">
      <c r="B932" s="65"/>
      <c r="C932" s="65"/>
      <c r="D932" s="65"/>
      <c r="E932" s="66"/>
      <c r="F932" s="65"/>
      <c r="G932" s="67"/>
      <c r="H932" s="63"/>
    </row>
    <row r="933" ht="15.75" customHeight="1">
      <c r="B933" s="65"/>
      <c r="C933" s="65"/>
      <c r="D933" s="65"/>
      <c r="E933" s="66"/>
      <c r="F933" s="65"/>
      <c r="G933" s="67"/>
      <c r="H933" s="63"/>
    </row>
    <row r="934" ht="15.75" customHeight="1">
      <c r="B934" s="65"/>
      <c r="C934" s="65"/>
      <c r="D934" s="65"/>
      <c r="E934" s="66"/>
      <c r="F934" s="65"/>
      <c r="G934" s="67"/>
      <c r="H934" s="63"/>
    </row>
    <row r="935" ht="15.75" customHeight="1">
      <c r="B935" s="65"/>
      <c r="C935" s="65"/>
      <c r="D935" s="65"/>
      <c r="E935" s="66"/>
      <c r="F935" s="65"/>
      <c r="G935" s="67"/>
      <c r="H935" s="63"/>
    </row>
    <row r="936" ht="15.75" customHeight="1">
      <c r="B936" s="65"/>
      <c r="C936" s="65"/>
      <c r="D936" s="65"/>
      <c r="E936" s="66"/>
      <c r="F936" s="65"/>
      <c r="G936" s="67"/>
      <c r="H936" s="63"/>
    </row>
    <row r="937" ht="15.75" customHeight="1">
      <c r="B937" s="65"/>
      <c r="C937" s="65"/>
      <c r="D937" s="65"/>
      <c r="E937" s="66"/>
      <c r="F937" s="65"/>
      <c r="G937" s="67"/>
      <c r="H937" s="63"/>
    </row>
    <row r="938" ht="15.75" customHeight="1">
      <c r="B938" s="65"/>
      <c r="C938" s="65"/>
      <c r="D938" s="65"/>
      <c r="E938" s="66"/>
      <c r="F938" s="65"/>
      <c r="G938" s="67"/>
      <c r="H938" s="63"/>
    </row>
    <row r="939" ht="15.75" customHeight="1">
      <c r="B939" s="65"/>
      <c r="C939" s="65"/>
      <c r="D939" s="65"/>
      <c r="E939" s="66"/>
      <c r="F939" s="65"/>
      <c r="G939" s="67"/>
      <c r="H939" s="63"/>
    </row>
    <row r="940" ht="15.75" customHeight="1">
      <c r="B940" s="65"/>
      <c r="C940" s="65"/>
      <c r="D940" s="65"/>
      <c r="E940" s="66"/>
      <c r="F940" s="65"/>
      <c r="G940" s="67"/>
      <c r="H940" s="63"/>
    </row>
    <row r="941" ht="15.75" customHeight="1">
      <c r="B941" s="65"/>
      <c r="C941" s="65"/>
      <c r="D941" s="65"/>
      <c r="E941" s="66"/>
      <c r="F941" s="65"/>
      <c r="G941" s="67"/>
      <c r="H941" s="63"/>
    </row>
    <row r="942" ht="15.75" customHeight="1">
      <c r="B942" s="65"/>
      <c r="C942" s="65"/>
      <c r="D942" s="65"/>
      <c r="E942" s="66"/>
      <c r="F942" s="65"/>
      <c r="G942" s="67"/>
      <c r="H942" s="63"/>
    </row>
    <row r="943" ht="15.75" customHeight="1">
      <c r="B943" s="65"/>
      <c r="C943" s="65"/>
      <c r="D943" s="65"/>
      <c r="E943" s="66"/>
      <c r="F943" s="65"/>
      <c r="G943" s="67"/>
      <c r="H943" s="63"/>
    </row>
    <row r="944" ht="15.75" customHeight="1">
      <c r="B944" s="65"/>
      <c r="C944" s="65"/>
      <c r="D944" s="65"/>
      <c r="E944" s="66"/>
      <c r="F944" s="65"/>
      <c r="G944" s="67"/>
      <c r="H944" s="63"/>
    </row>
    <row r="945" ht="15.75" customHeight="1">
      <c r="B945" s="65"/>
      <c r="C945" s="65"/>
      <c r="D945" s="65"/>
      <c r="E945" s="66"/>
      <c r="F945" s="65"/>
      <c r="G945" s="67"/>
      <c r="H945" s="63"/>
    </row>
    <row r="946" ht="15.75" customHeight="1">
      <c r="B946" s="65"/>
      <c r="C946" s="65"/>
      <c r="D946" s="65"/>
      <c r="E946" s="66"/>
      <c r="F946" s="65"/>
      <c r="G946" s="67"/>
      <c r="H946" s="63"/>
    </row>
    <row r="947" ht="15.75" customHeight="1">
      <c r="B947" s="65"/>
      <c r="C947" s="65"/>
      <c r="D947" s="65"/>
      <c r="E947" s="66"/>
      <c r="F947" s="65"/>
      <c r="G947" s="67"/>
      <c r="H947" s="63"/>
    </row>
    <row r="948" ht="15.75" customHeight="1">
      <c r="B948" s="65"/>
      <c r="C948" s="65"/>
      <c r="D948" s="65"/>
      <c r="E948" s="66"/>
      <c r="F948" s="65"/>
      <c r="G948" s="67"/>
      <c r="H948" s="63"/>
    </row>
    <row r="949" ht="15.75" customHeight="1">
      <c r="B949" s="65"/>
      <c r="C949" s="65"/>
      <c r="D949" s="65"/>
      <c r="E949" s="66"/>
      <c r="F949" s="65"/>
      <c r="G949" s="67"/>
      <c r="H949" s="63"/>
    </row>
    <row r="950" ht="15.75" customHeight="1">
      <c r="B950" s="65"/>
      <c r="C950" s="65"/>
      <c r="D950" s="65"/>
      <c r="E950" s="66"/>
      <c r="F950" s="65"/>
      <c r="G950" s="67"/>
      <c r="H950" s="63"/>
    </row>
    <row r="951" ht="15.75" customHeight="1">
      <c r="B951" s="65"/>
      <c r="C951" s="65"/>
      <c r="D951" s="65"/>
      <c r="E951" s="66"/>
      <c r="F951" s="65"/>
      <c r="G951" s="67"/>
      <c r="H951" s="63"/>
    </row>
    <row r="952" ht="15.75" customHeight="1">
      <c r="B952" s="65"/>
      <c r="C952" s="65"/>
      <c r="D952" s="65"/>
      <c r="E952" s="66"/>
      <c r="F952" s="65"/>
      <c r="G952" s="67"/>
      <c r="H952" s="63"/>
    </row>
    <row r="953" ht="15.75" customHeight="1">
      <c r="B953" s="65"/>
      <c r="C953" s="65"/>
      <c r="D953" s="65"/>
      <c r="E953" s="66"/>
      <c r="F953" s="65"/>
      <c r="G953" s="67"/>
      <c r="H953" s="63"/>
    </row>
    <row r="954" ht="15.75" customHeight="1">
      <c r="B954" s="65"/>
      <c r="C954" s="65"/>
      <c r="D954" s="65"/>
      <c r="E954" s="66"/>
      <c r="F954" s="65"/>
      <c r="G954" s="67"/>
      <c r="H954" s="63"/>
    </row>
    <row r="955" ht="15.75" customHeight="1">
      <c r="B955" s="65"/>
      <c r="C955" s="65"/>
      <c r="D955" s="65"/>
      <c r="E955" s="66"/>
      <c r="F955" s="65"/>
      <c r="G955" s="67"/>
      <c r="H955" s="63"/>
    </row>
    <row r="956" ht="15.75" customHeight="1">
      <c r="B956" s="65"/>
      <c r="C956" s="65"/>
      <c r="D956" s="65"/>
      <c r="E956" s="66"/>
      <c r="F956" s="65"/>
      <c r="G956" s="67"/>
      <c r="H956" s="63"/>
    </row>
    <row r="957" ht="15.75" customHeight="1">
      <c r="B957" s="65"/>
      <c r="C957" s="65"/>
      <c r="D957" s="65"/>
      <c r="E957" s="66"/>
      <c r="F957" s="65"/>
      <c r="G957" s="67"/>
      <c r="H957" s="63"/>
    </row>
    <row r="958" ht="15.75" customHeight="1">
      <c r="B958" s="65"/>
      <c r="C958" s="65"/>
      <c r="D958" s="65"/>
      <c r="E958" s="66"/>
      <c r="F958" s="65"/>
      <c r="G958" s="67"/>
      <c r="H958" s="63"/>
    </row>
    <row r="959" ht="15.75" customHeight="1">
      <c r="B959" s="65"/>
      <c r="C959" s="65"/>
      <c r="D959" s="65"/>
      <c r="E959" s="66"/>
      <c r="F959" s="65"/>
      <c r="G959" s="67"/>
      <c r="H959" s="63"/>
    </row>
    <row r="960" ht="15.75" customHeight="1">
      <c r="B960" s="65"/>
      <c r="C960" s="65"/>
      <c r="D960" s="65"/>
      <c r="E960" s="66"/>
      <c r="F960" s="65"/>
      <c r="G960" s="67"/>
      <c r="H960" s="63"/>
    </row>
    <row r="961" ht="15.75" customHeight="1">
      <c r="B961" s="65"/>
      <c r="C961" s="65"/>
      <c r="D961" s="65"/>
      <c r="E961" s="66"/>
      <c r="F961" s="65"/>
      <c r="G961" s="67"/>
      <c r="H961" s="63"/>
    </row>
    <row r="962" ht="15.75" customHeight="1">
      <c r="B962" s="65"/>
      <c r="C962" s="65"/>
      <c r="D962" s="65"/>
      <c r="E962" s="66"/>
      <c r="F962" s="65"/>
      <c r="G962" s="67"/>
      <c r="H962" s="63"/>
    </row>
    <row r="963" ht="15.75" customHeight="1">
      <c r="B963" s="65"/>
      <c r="C963" s="65"/>
      <c r="D963" s="65"/>
      <c r="E963" s="66"/>
      <c r="F963" s="65"/>
      <c r="G963" s="67"/>
      <c r="H963" s="63"/>
    </row>
    <row r="964" ht="15.75" customHeight="1">
      <c r="B964" s="65"/>
      <c r="C964" s="65"/>
      <c r="D964" s="65"/>
      <c r="E964" s="66"/>
      <c r="F964" s="65"/>
      <c r="G964" s="67"/>
      <c r="H964" s="63"/>
    </row>
    <row r="965" ht="15.75" customHeight="1">
      <c r="B965" s="65"/>
      <c r="C965" s="65"/>
      <c r="D965" s="65"/>
      <c r="E965" s="66"/>
      <c r="F965" s="65"/>
      <c r="G965" s="67"/>
      <c r="H965" s="63"/>
    </row>
    <row r="966" ht="15.75" customHeight="1">
      <c r="B966" s="65"/>
      <c r="C966" s="65"/>
      <c r="D966" s="65"/>
      <c r="E966" s="66"/>
      <c r="F966" s="65"/>
      <c r="G966" s="67"/>
      <c r="H966" s="63"/>
    </row>
    <row r="967" ht="15.75" customHeight="1">
      <c r="B967" s="65"/>
      <c r="C967" s="65"/>
      <c r="D967" s="65"/>
      <c r="E967" s="66"/>
      <c r="F967" s="65"/>
      <c r="G967" s="67"/>
      <c r="H967" s="63"/>
    </row>
  </sheetData>
  <autoFilter ref="$A$1:$Z$44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43"/>
    <col customWidth="1" min="2" max="2" width="41.0"/>
    <col customWidth="1" min="3" max="3" width="14.86"/>
    <col customWidth="1" min="4" max="4" width="24.43"/>
    <col customWidth="1" min="5" max="5" width="56.43"/>
    <col customWidth="1" min="6" max="6" width="25.29"/>
    <col customWidth="1" min="7" max="7" width="117.57"/>
    <col customWidth="1" min="8" max="25" width="11.0"/>
  </cols>
  <sheetData>
    <row r="1">
      <c r="A1" s="20" t="s">
        <v>140</v>
      </c>
      <c r="B1" s="68" t="s">
        <v>141</v>
      </c>
      <c r="C1" s="68" t="s">
        <v>142</v>
      </c>
      <c r="D1" s="68" t="s">
        <v>143</v>
      </c>
      <c r="E1" s="69" t="s">
        <v>144</v>
      </c>
      <c r="F1" s="70" t="s">
        <v>145</v>
      </c>
      <c r="G1" s="71" t="s">
        <v>147</v>
      </c>
    </row>
    <row r="2" ht="22.5" customHeight="1">
      <c r="A2" s="89" t="s">
        <v>2171</v>
      </c>
      <c r="B2" s="90">
        <v>5.511958773524E12</v>
      </c>
      <c r="C2" s="91" t="s">
        <v>155</v>
      </c>
      <c r="D2" s="91" t="s">
        <v>156</v>
      </c>
      <c r="E2" s="92" t="s">
        <v>72</v>
      </c>
      <c r="F2" s="91" t="s">
        <v>182</v>
      </c>
      <c r="G2" s="93" t="s">
        <v>2172</v>
      </c>
    </row>
    <row r="3" ht="22.5" customHeight="1">
      <c r="A3" s="25" t="s">
        <v>2173</v>
      </c>
      <c r="B3" s="26" t="s">
        <v>2174</v>
      </c>
      <c r="C3" s="26" t="s">
        <v>149</v>
      </c>
      <c r="D3" s="26" t="s">
        <v>624</v>
      </c>
      <c r="E3" s="27" t="s">
        <v>2175</v>
      </c>
      <c r="F3" s="26" t="s">
        <v>2176</v>
      </c>
      <c r="G3" s="25" t="s">
        <v>2177</v>
      </c>
    </row>
    <row r="4" ht="22.5" customHeight="1">
      <c r="A4" s="78" t="s">
        <v>2178</v>
      </c>
      <c r="B4" s="26">
        <v>5.521971201115E12</v>
      </c>
      <c r="C4" s="26" t="s">
        <v>149</v>
      </c>
      <c r="D4" s="26" t="s">
        <v>624</v>
      </c>
      <c r="E4" s="27" t="s">
        <v>2179</v>
      </c>
      <c r="F4" s="26" t="s">
        <v>2176</v>
      </c>
      <c r="G4" s="25" t="s">
        <v>2180</v>
      </c>
    </row>
    <row r="5" ht="22.5" customHeight="1">
      <c r="A5" s="28" t="s">
        <v>2181</v>
      </c>
      <c r="B5" s="31">
        <v>5.511992767232E12</v>
      </c>
      <c r="C5" s="31" t="s">
        <v>155</v>
      </c>
      <c r="D5" s="31" t="s">
        <v>156</v>
      </c>
      <c r="E5" s="32" t="s">
        <v>2182</v>
      </c>
      <c r="F5" s="26" t="s">
        <v>2176</v>
      </c>
      <c r="G5" s="51" t="s">
        <v>2183</v>
      </c>
    </row>
    <row r="6" ht="22.5" customHeight="1">
      <c r="A6" s="25" t="s">
        <v>2184</v>
      </c>
      <c r="B6" s="26">
        <v>5.548999018248E12</v>
      </c>
      <c r="C6" s="26" t="s">
        <v>160</v>
      </c>
      <c r="D6" s="26" t="s">
        <v>327</v>
      </c>
      <c r="E6" s="27" t="s">
        <v>2185</v>
      </c>
      <c r="F6" s="26" t="s">
        <v>196</v>
      </c>
      <c r="G6" s="51" t="s">
        <v>2186</v>
      </c>
    </row>
    <row r="7" ht="22.5" customHeight="1">
      <c r="A7" s="28" t="s">
        <v>2187</v>
      </c>
      <c r="B7" s="26">
        <v>5.547996830494E12</v>
      </c>
      <c r="C7" s="26" t="s">
        <v>160</v>
      </c>
      <c r="D7" s="52" t="s">
        <v>2188</v>
      </c>
      <c r="E7" s="27" t="s">
        <v>2189</v>
      </c>
      <c r="F7" s="26" t="s">
        <v>182</v>
      </c>
      <c r="G7" s="25" t="s">
        <v>2190</v>
      </c>
    </row>
    <row r="8" ht="22.5" customHeight="1">
      <c r="A8" s="28" t="s">
        <v>2191</v>
      </c>
      <c r="B8" s="26">
        <v>5.58298116551E12</v>
      </c>
      <c r="C8" s="26" t="s">
        <v>248</v>
      </c>
      <c r="D8" s="52" t="s">
        <v>2192</v>
      </c>
      <c r="E8" s="27" t="s">
        <v>135</v>
      </c>
      <c r="F8" s="26" t="s">
        <v>182</v>
      </c>
      <c r="G8" s="25" t="s">
        <v>2193</v>
      </c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</row>
    <row r="9" ht="22.5" customHeight="1">
      <c r="A9" s="25" t="s">
        <v>2194</v>
      </c>
      <c r="B9" s="26">
        <v>5.582996051104E12</v>
      </c>
      <c r="C9" s="26" t="s">
        <v>248</v>
      </c>
      <c r="D9" s="26" t="s">
        <v>2192</v>
      </c>
      <c r="E9" s="27" t="s">
        <v>2195</v>
      </c>
      <c r="F9" s="26" t="s">
        <v>182</v>
      </c>
      <c r="G9" s="25" t="s">
        <v>2196</v>
      </c>
    </row>
    <row r="10" ht="22.5" customHeight="1">
      <c r="A10" s="25" t="s">
        <v>2197</v>
      </c>
      <c r="B10" s="26">
        <v>5.582999215257E12</v>
      </c>
      <c r="C10" s="26" t="s">
        <v>248</v>
      </c>
      <c r="D10" s="26" t="s">
        <v>2192</v>
      </c>
      <c r="E10" s="27" t="s">
        <v>135</v>
      </c>
      <c r="F10" s="26" t="s">
        <v>182</v>
      </c>
      <c r="G10" s="25" t="s">
        <v>2198</v>
      </c>
    </row>
    <row r="11" ht="22.5" customHeight="1">
      <c r="A11" s="25" t="s">
        <v>2199</v>
      </c>
      <c r="B11" s="26">
        <v>5.571993960098E12</v>
      </c>
      <c r="C11" s="26" t="s">
        <v>2200</v>
      </c>
      <c r="D11" s="26" t="s">
        <v>461</v>
      </c>
      <c r="E11" s="27" t="s">
        <v>2201</v>
      </c>
      <c r="F11" s="26" t="s">
        <v>151</v>
      </c>
      <c r="G11" s="25" t="s">
        <v>2198</v>
      </c>
    </row>
    <row r="12" ht="22.5" customHeight="1">
      <c r="A12" s="25" t="s">
        <v>2202</v>
      </c>
      <c r="B12" s="31">
        <v>5.571992458185E12</v>
      </c>
      <c r="C12" s="31" t="s">
        <v>2200</v>
      </c>
      <c r="D12" s="31" t="s">
        <v>461</v>
      </c>
      <c r="E12" s="32" t="s">
        <v>2189</v>
      </c>
      <c r="F12" s="31" t="s">
        <v>151</v>
      </c>
      <c r="G12" s="33" t="s">
        <v>2203</v>
      </c>
    </row>
    <row r="13" ht="22.5" customHeight="1">
      <c r="A13" s="78" t="s">
        <v>2204</v>
      </c>
      <c r="B13" s="26">
        <v>5.541995961053E12</v>
      </c>
      <c r="C13" s="26" t="s">
        <v>194</v>
      </c>
      <c r="D13" s="26" t="s">
        <v>195</v>
      </c>
      <c r="E13" s="27" t="s">
        <v>2205</v>
      </c>
      <c r="F13" s="26" t="s">
        <v>182</v>
      </c>
      <c r="G13" s="25" t="s">
        <v>2206</v>
      </c>
    </row>
    <row r="14" ht="22.5" customHeight="1">
      <c r="A14" s="25" t="s">
        <v>2207</v>
      </c>
      <c r="B14" s="26">
        <v>5.541996774402E12</v>
      </c>
      <c r="C14" s="26" t="s">
        <v>194</v>
      </c>
      <c r="D14" s="26" t="s">
        <v>195</v>
      </c>
      <c r="E14" s="27" t="s">
        <v>1613</v>
      </c>
      <c r="F14" s="26" t="s">
        <v>182</v>
      </c>
      <c r="G14" s="25" t="s">
        <v>2208</v>
      </c>
    </row>
    <row r="15" ht="22.5" customHeight="1">
      <c r="A15" s="25" t="s">
        <v>2209</v>
      </c>
      <c r="B15" s="26">
        <v>5.54199566376E12</v>
      </c>
      <c r="C15" s="26" t="s">
        <v>194</v>
      </c>
      <c r="D15" s="26" t="s">
        <v>195</v>
      </c>
      <c r="E15" s="27" t="s">
        <v>2195</v>
      </c>
      <c r="F15" s="26" t="s">
        <v>182</v>
      </c>
      <c r="G15" s="25" t="s">
        <v>2206</v>
      </c>
    </row>
    <row r="16" ht="22.5" customHeight="1">
      <c r="A16" s="28" t="s">
        <v>337</v>
      </c>
      <c r="B16" s="26">
        <v>5.548988360773E12</v>
      </c>
      <c r="C16" s="26" t="s">
        <v>160</v>
      </c>
      <c r="D16" s="26" t="s">
        <v>327</v>
      </c>
      <c r="E16" s="27" t="s">
        <v>2182</v>
      </c>
      <c r="F16" s="26" t="s">
        <v>151</v>
      </c>
      <c r="G16" s="25" t="s">
        <v>2210</v>
      </c>
    </row>
    <row r="17" ht="22.5" customHeight="1">
      <c r="A17" s="28" t="s">
        <v>2211</v>
      </c>
      <c r="B17" s="26">
        <v>5.548992119003E12</v>
      </c>
      <c r="C17" s="26" t="s">
        <v>160</v>
      </c>
      <c r="D17" s="26" t="s">
        <v>2212</v>
      </c>
      <c r="E17" s="27" t="s">
        <v>135</v>
      </c>
      <c r="F17" s="26" t="s">
        <v>182</v>
      </c>
      <c r="G17" s="25" t="s">
        <v>2213</v>
      </c>
    </row>
    <row r="18" ht="22.5" customHeight="1">
      <c r="A18" s="25" t="s">
        <v>2214</v>
      </c>
      <c r="B18" s="26">
        <v>5.522998851787E12</v>
      </c>
      <c r="C18" s="26" t="s">
        <v>149</v>
      </c>
      <c r="D18" s="26" t="s">
        <v>2215</v>
      </c>
      <c r="E18" s="27" t="s">
        <v>135</v>
      </c>
      <c r="F18" s="26" t="s">
        <v>182</v>
      </c>
      <c r="G18" s="25" t="s">
        <v>2216</v>
      </c>
    </row>
    <row r="19" ht="22.5" customHeight="1">
      <c r="A19" s="28" t="s">
        <v>2217</v>
      </c>
      <c r="B19" s="26">
        <v>5.551999179127E12</v>
      </c>
      <c r="C19" s="26" t="s">
        <v>361</v>
      </c>
      <c r="D19" s="26" t="s">
        <v>362</v>
      </c>
      <c r="E19" s="27" t="s">
        <v>2218</v>
      </c>
      <c r="F19" s="26" t="s">
        <v>182</v>
      </c>
      <c r="G19" s="25" t="s">
        <v>2219</v>
      </c>
    </row>
    <row r="20" ht="22.5" customHeight="1">
      <c r="A20" s="25" t="s">
        <v>2220</v>
      </c>
      <c r="B20" s="26">
        <v>5.55133660082E11</v>
      </c>
      <c r="C20" s="26" t="s">
        <v>361</v>
      </c>
      <c r="D20" s="26" t="s">
        <v>362</v>
      </c>
      <c r="E20" s="27" t="s">
        <v>135</v>
      </c>
      <c r="F20" s="26" t="s">
        <v>151</v>
      </c>
      <c r="G20" s="18" t="s">
        <v>2221</v>
      </c>
    </row>
    <row r="21" ht="22.5" customHeight="1">
      <c r="A21" s="28" t="s">
        <v>2222</v>
      </c>
      <c r="B21" s="26">
        <v>5.551992096986E12</v>
      </c>
      <c r="C21" s="26" t="s">
        <v>361</v>
      </c>
      <c r="D21" s="26" t="s">
        <v>997</v>
      </c>
      <c r="E21" s="27" t="s">
        <v>2223</v>
      </c>
      <c r="F21" s="26" t="s">
        <v>182</v>
      </c>
      <c r="G21" s="25" t="s">
        <v>2224</v>
      </c>
    </row>
    <row r="22" ht="22.5" customHeight="1">
      <c r="A22" s="25"/>
      <c r="B22" s="26"/>
      <c r="C22" s="26"/>
      <c r="D22" s="26"/>
      <c r="E22" s="27"/>
      <c r="F22" s="26"/>
      <c r="G22" s="25"/>
    </row>
    <row r="23" ht="22.5" customHeight="1">
      <c r="A23" s="25"/>
      <c r="B23" s="29"/>
      <c r="C23" s="26"/>
      <c r="D23" s="26"/>
      <c r="E23" s="27"/>
      <c r="F23" s="26"/>
      <c r="G23" s="25"/>
    </row>
    <row r="24" ht="22.5" customHeight="1">
      <c r="A24" s="74"/>
      <c r="B24" s="36"/>
      <c r="C24" s="31"/>
      <c r="D24" s="31"/>
      <c r="E24" s="32"/>
      <c r="F24" s="31"/>
      <c r="G24" s="33"/>
    </row>
    <row r="25" ht="22.5" customHeight="1">
      <c r="A25" s="74"/>
      <c r="B25" s="31"/>
      <c r="C25" s="31"/>
      <c r="D25" s="31"/>
      <c r="E25" s="32"/>
      <c r="F25" s="31"/>
      <c r="G25" s="33"/>
    </row>
    <row r="26" ht="22.5" customHeight="1">
      <c r="A26" s="34"/>
      <c r="B26" s="31"/>
      <c r="C26" s="31"/>
      <c r="D26" s="31"/>
      <c r="E26" s="32"/>
      <c r="F26" s="31"/>
      <c r="G26" s="33"/>
    </row>
    <row r="27" ht="22.5" customHeight="1">
      <c r="A27" s="44"/>
      <c r="B27" s="31"/>
      <c r="C27" s="94"/>
      <c r="D27" s="94"/>
      <c r="E27" s="95"/>
      <c r="F27" s="94"/>
      <c r="G27" s="96"/>
    </row>
    <row r="28" ht="22.5" customHeight="1">
      <c r="A28" s="25"/>
      <c r="B28" s="26"/>
      <c r="C28" s="31"/>
      <c r="D28" s="31"/>
      <c r="E28" s="32"/>
      <c r="F28" s="31"/>
      <c r="G28" s="33"/>
    </row>
    <row r="29" ht="22.5" customHeight="1">
      <c r="A29" s="25"/>
      <c r="B29" s="31"/>
      <c r="C29" s="31"/>
      <c r="D29" s="31"/>
      <c r="E29" s="32"/>
      <c r="F29" s="31"/>
      <c r="G29" s="33"/>
    </row>
    <row r="30" ht="22.5" customHeight="1">
      <c r="A30" s="25"/>
      <c r="B30" s="26"/>
      <c r="C30" s="31"/>
      <c r="D30" s="31"/>
      <c r="E30" s="32"/>
      <c r="F30" s="31"/>
      <c r="G30" s="33"/>
    </row>
    <row r="31" ht="22.5" customHeight="1">
      <c r="A31" s="62"/>
      <c r="B31" s="31"/>
      <c r="C31" s="31"/>
      <c r="D31" s="31"/>
      <c r="E31" s="32"/>
      <c r="F31" s="31"/>
      <c r="G31" s="33"/>
    </row>
    <row r="32" ht="22.5" customHeight="1">
      <c r="A32" s="25"/>
      <c r="B32" s="26"/>
      <c r="C32" s="31"/>
      <c r="D32" s="31"/>
      <c r="E32" s="32"/>
      <c r="F32" s="31"/>
      <c r="G32" s="33"/>
    </row>
    <row r="33" ht="22.5" customHeight="1">
      <c r="A33" s="25"/>
      <c r="B33" s="31"/>
      <c r="C33" s="31"/>
      <c r="D33" s="31"/>
      <c r="E33" s="32"/>
      <c r="F33" s="31"/>
      <c r="G33" s="33"/>
    </row>
    <row r="34" ht="22.5" customHeight="1">
      <c r="A34" s="25"/>
      <c r="B34" s="26"/>
      <c r="C34" s="31"/>
      <c r="D34" s="31"/>
      <c r="E34" s="32"/>
      <c r="F34" s="31"/>
      <c r="G34" s="33"/>
    </row>
    <row r="35" ht="22.5" customHeight="1">
      <c r="A35" s="83"/>
      <c r="B35" s="97"/>
      <c r="C35" s="98"/>
      <c r="D35" s="98"/>
      <c r="E35" s="99"/>
      <c r="F35" s="98"/>
      <c r="G35" s="100"/>
    </row>
    <row r="36" ht="22.5" customHeight="1">
      <c r="A36" s="83"/>
      <c r="B36" s="97"/>
      <c r="C36" s="98"/>
      <c r="D36" s="98"/>
      <c r="E36" s="99"/>
      <c r="F36" s="98"/>
      <c r="G36" s="100"/>
    </row>
    <row r="37" ht="22.5" customHeight="1">
      <c r="A37" s="101"/>
      <c r="B37" s="58"/>
      <c r="C37" s="98"/>
      <c r="D37" s="98"/>
      <c r="E37" s="99"/>
      <c r="F37" s="98"/>
      <c r="G37" s="100"/>
    </row>
    <row r="38" ht="22.5" customHeight="1">
      <c r="A38" s="102"/>
      <c r="B38" s="58"/>
      <c r="C38" s="98"/>
      <c r="D38" s="98"/>
      <c r="E38" s="99"/>
      <c r="F38" s="98"/>
      <c r="G38" s="100"/>
    </row>
    <row r="39" ht="22.5" customHeight="1">
      <c r="A39" s="83"/>
      <c r="B39" s="58"/>
      <c r="C39" s="98"/>
      <c r="D39" s="98"/>
      <c r="E39" s="99"/>
      <c r="F39" s="98"/>
      <c r="G39" s="100"/>
    </row>
    <row r="40" ht="22.5" customHeight="1">
      <c r="A40" s="102"/>
      <c r="B40" s="58"/>
      <c r="C40" s="98"/>
      <c r="D40" s="98"/>
      <c r="E40" s="99"/>
      <c r="F40" s="98"/>
      <c r="G40" s="100"/>
    </row>
    <row r="41" ht="22.5" customHeight="1">
      <c r="A41" s="83"/>
      <c r="B41" s="98"/>
      <c r="C41" s="98"/>
      <c r="D41" s="98"/>
      <c r="E41" s="99"/>
      <c r="F41" s="98"/>
      <c r="G41" s="100"/>
    </row>
    <row r="42" ht="22.5" customHeight="1">
      <c r="A42" s="103"/>
      <c r="B42" s="98"/>
      <c r="C42" s="104"/>
      <c r="D42" s="104"/>
      <c r="E42" s="105"/>
      <c r="F42" s="104"/>
      <c r="G42" s="106"/>
    </row>
    <row r="43" ht="22.5" customHeight="1">
      <c r="A43" s="100"/>
      <c r="B43" s="98"/>
      <c r="C43" s="104"/>
      <c r="D43" s="104"/>
      <c r="E43" s="105"/>
      <c r="F43" s="104"/>
      <c r="G43" s="106"/>
    </row>
    <row r="44" ht="22.5" customHeight="1">
      <c r="A44" s="104"/>
      <c r="B44" s="104"/>
      <c r="C44" s="104"/>
      <c r="D44" s="104"/>
      <c r="E44" s="105"/>
      <c r="F44" s="104"/>
      <c r="G44" s="106"/>
    </row>
    <row r="45" ht="22.5" customHeight="1">
      <c r="A45" s="104"/>
      <c r="B45" s="104"/>
      <c r="C45" s="104"/>
      <c r="D45" s="104"/>
      <c r="E45" s="105"/>
      <c r="F45" s="104"/>
      <c r="G45" s="106"/>
    </row>
    <row r="46" ht="22.5" customHeight="1">
      <c r="A46" s="104"/>
      <c r="B46" s="104"/>
      <c r="C46" s="104"/>
      <c r="D46" s="104"/>
      <c r="E46" s="105"/>
      <c r="F46" s="104"/>
      <c r="G46" s="106"/>
    </row>
    <row r="47" ht="22.5" customHeight="1">
      <c r="A47" s="104"/>
      <c r="B47" s="104"/>
      <c r="C47" s="104"/>
      <c r="D47" s="104"/>
      <c r="E47" s="105"/>
      <c r="F47" s="104"/>
      <c r="G47" s="106"/>
    </row>
    <row r="48" ht="22.5" customHeight="1">
      <c r="A48" s="104"/>
      <c r="B48" s="104"/>
      <c r="C48" s="104"/>
      <c r="D48" s="104"/>
      <c r="E48" s="105"/>
      <c r="F48" s="104"/>
      <c r="G48" s="106"/>
    </row>
    <row r="49" ht="22.5" customHeight="1">
      <c r="A49" s="104"/>
      <c r="B49" s="104"/>
      <c r="C49" s="104"/>
      <c r="D49" s="104"/>
      <c r="E49" s="105"/>
      <c r="F49" s="104"/>
      <c r="G49" s="106"/>
    </row>
    <row r="50" ht="22.5" customHeight="1">
      <c r="A50" s="104"/>
      <c r="B50" s="104"/>
      <c r="C50" s="104"/>
      <c r="D50" s="104"/>
      <c r="E50" s="105"/>
      <c r="F50" s="104"/>
      <c r="G50" s="106"/>
    </row>
    <row r="51" ht="22.5" customHeight="1">
      <c r="A51" s="104"/>
      <c r="B51" s="104"/>
      <c r="C51" s="104"/>
      <c r="D51" s="104"/>
      <c r="E51" s="105"/>
      <c r="F51" s="104"/>
      <c r="G51" s="106"/>
    </row>
    <row r="52" ht="22.5" customHeight="1">
      <c r="A52" s="104"/>
      <c r="B52" s="104"/>
      <c r="C52" s="104"/>
      <c r="D52" s="104"/>
      <c r="E52" s="105"/>
      <c r="F52" s="104"/>
      <c r="G52" s="106"/>
    </row>
    <row r="53" ht="22.5" customHeight="1">
      <c r="A53" s="104"/>
      <c r="B53" s="104"/>
      <c r="C53" s="104"/>
      <c r="D53" s="104"/>
      <c r="E53" s="105"/>
      <c r="F53" s="104"/>
      <c r="G53" s="106"/>
    </row>
    <row r="54" ht="22.5" customHeight="1">
      <c r="A54" s="104"/>
      <c r="B54" s="104"/>
      <c r="C54" s="104"/>
      <c r="D54" s="104"/>
      <c r="E54" s="105"/>
      <c r="F54" s="104"/>
      <c r="G54" s="106"/>
    </row>
    <row r="55" ht="22.5" customHeight="1">
      <c r="A55" s="104"/>
      <c r="B55" s="104"/>
      <c r="C55" s="104"/>
      <c r="D55" s="104"/>
      <c r="E55" s="105"/>
      <c r="F55" s="104"/>
      <c r="G55" s="106"/>
    </row>
    <row r="56" ht="22.5" customHeight="1">
      <c r="A56" s="104"/>
      <c r="B56" s="104"/>
      <c r="C56" s="104"/>
      <c r="D56" s="104"/>
      <c r="E56" s="105"/>
      <c r="F56" s="104"/>
      <c r="G56" s="106"/>
    </row>
    <row r="57" ht="22.5" customHeight="1">
      <c r="A57" s="104"/>
      <c r="B57" s="104"/>
      <c r="C57" s="104"/>
      <c r="D57" s="104"/>
      <c r="E57" s="105"/>
      <c r="F57" s="104"/>
      <c r="G57" s="106"/>
    </row>
    <row r="58" ht="22.5" customHeight="1">
      <c r="A58" s="104"/>
      <c r="B58" s="104"/>
      <c r="C58" s="104"/>
      <c r="D58" s="104"/>
      <c r="E58" s="105"/>
      <c r="F58" s="104"/>
      <c r="G58" s="106"/>
    </row>
    <row r="59" ht="22.5" customHeight="1">
      <c r="A59" s="104"/>
      <c r="B59" s="104"/>
      <c r="C59" s="104"/>
      <c r="D59" s="104"/>
      <c r="E59" s="105"/>
      <c r="F59" s="104"/>
      <c r="G59" s="106"/>
    </row>
    <row r="60" ht="22.5" customHeight="1">
      <c r="A60" s="104"/>
      <c r="B60" s="104"/>
      <c r="C60" s="104"/>
      <c r="D60" s="104"/>
      <c r="E60" s="105"/>
      <c r="F60" s="104"/>
      <c r="G60" s="106"/>
    </row>
    <row r="61" ht="22.5" customHeight="1">
      <c r="A61" s="104"/>
      <c r="B61" s="104"/>
      <c r="C61" s="104"/>
      <c r="D61" s="104"/>
      <c r="E61" s="105"/>
      <c r="F61" s="104"/>
      <c r="G61" s="106"/>
    </row>
    <row r="62" ht="22.5" customHeight="1">
      <c r="A62" s="104"/>
      <c r="B62" s="104"/>
      <c r="C62" s="104"/>
      <c r="D62" s="104"/>
      <c r="E62" s="105"/>
      <c r="F62" s="104"/>
      <c r="G62" s="106"/>
    </row>
    <row r="63" ht="22.5" customHeight="1">
      <c r="A63" s="104"/>
      <c r="B63" s="104"/>
      <c r="C63" s="104"/>
      <c r="D63" s="104"/>
      <c r="E63" s="105"/>
      <c r="F63" s="104"/>
      <c r="G63" s="106"/>
    </row>
    <row r="64" ht="15.75" customHeight="1">
      <c r="B64" s="65"/>
      <c r="C64" s="65"/>
      <c r="D64" s="65"/>
      <c r="E64" s="66"/>
      <c r="F64" s="65"/>
      <c r="G64" s="67"/>
    </row>
    <row r="65" ht="15.75" customHeight="1">
      <c r="B65" s="65"/>
      <c r="C65" s="65"/>
      <c r="D65" s="65"/>
      <c r="E65" s="66"/>
      <c r="F65" s="65"/>
      <c r="G65" s="67"/>
    </row>
    <row r="66" ht="15.75" customHeight="1">
      <c r="B66" s="65"/>
      <c r="C66" s="65"/>
      <c r="D66" s="65"/>
      <c r="E66" s="66"/>
      <c r="F66" s="65"/>
      <c r="G66" s="67"/>
    </row>
    <row r="67" ht="15.75" customHeight="1">
      <c r="B67" s="65"/>
      <c r="C67" s="65"/>
      <c r="D67" s="65"/>
      <c r="E67" s="66"/>
      <c r="F67" s="65"/>
      <c r="G67" s="67"/>
    </row>
    <row r="68" ht="15.75" customHeight="1">
      <c r="B68" s="65"/>
      <c r="C68" s="65"/>
      <c r="D68" s="65"/>
      <c r="E68" s="66"/>
      <c r="F68" s="65"/>
      <c r="G68" s="67"/>
    </row>
    <row r="69" ht="15.75" customHeight="1">
      <c r="B69" s="65"/>
      <c r="C69" s="65"/>
      <c r="D69" s="65"/>
      <c r="E69" s="66"/>
      <c r="F69" s="65"/>
      <c r="G69" s="67"/>
    </row>
    <row r="70" ht="15.75" customHeight="1">
      <c r="B70" s="65"/>
      <c r="C70" s="65"/>
      <c r="D70" s="65"/>
      <c r="E70" s="66"/>
      <c r="F70" s="65"/>
      <c r="G70" s="67"/>
    </row>
    <row r="71" ht="15.75" customHeight="1">
      <c r="B71" s="65"/>
      <c r="C71" s="65"/>
      <c r="D71" s="65"/>
      <c r="E71" s="66"/>
      <c r="F71" s="65"/>
      <c r="G71" s="67"/>
    </row>
    <row r="72" ht="15.75" customHeight="1">
      <c r="B72" s="65"/>
      <c r="C72" s="65"/>
      <c r="D72" s="65"/>
      <c r="E72" s="66"/>
      <c r="F72" s="65"/>
      <c r="G72" s="67"/>
    </row>
    <row r="73" ht="15.75" customHeight="1">
      <c r="B73" s="65"/>
      <c r="C73" s="65"/>
      <c r="D73" s="65"/>
      <c r="E73" s="66"/>
      <c r="F73" s="65"/>
      <c r="G73" s="67"/>
    </row>
    <row r="74" ht="15.75" customHeight="1">
      <c r="B74" s="65"/>
      <c r="C74" s="65"/>
      <c r="D74" s="65"/>
      <c r="E74" s="66"/>
      <c r="F74" s="65"/>
      <c r="G74" s="67"/>
    </row>
    <row r="75" ht="15.75" customHeight="1">
      <c r="B75" s="65"/>
      <c r="C75" s="65"/>
      <c r="D75" s="65"/>
      <c r="E75" s="66"/>
      <c r="F75" s="65"/>
      <c r="G75" s="67"/>
    </row>
    <row r="76" ht="15.75" customHeight="1">
      <c r="B76" s="65"/>
      <c r="C76" s="65"/>
      <c r="D76" s="65"/>
      <c r="E76" s="66"/>
      <c r="F76" s="65"/>
      <c r="G76" s="67"/>
    </row>
    <row r="77" ht="15.75" customHeight="1">
      <c r="B77" s="65"/>
      <c r="C77" s="65"/>
      <c r="D77" s="65"/>
      <c r="E77" s="66"/>
      <c r="F77" s="65"/>
      <c r="G77" s="67"/>
    </row>
    <row r="78" ht="15.75" customHeight="1">
      <c r="B78" s="65"/>
      <c r="C78" s="65"/>
      <c r="D78" s="65"/>
      <c r="E78" s="66"/>
      <c r="F78" s="65"/>
      <c r="G78" s="67"/>
    </row>
    <row r="79" ht="15.75" customHeight="1">
      <c r="B79" s="65"/>
      <c r="C79" s="65"/>
      <c r="D79" s="65"/>
      <c r="E79" s="66"/>
      <c r="F79" s="65"/>
      <c r="G79" s="67"/>
    </row>
    <row r="80" ht="15.75" customHeight="1">
      <c r="B80" s="65"/>
      <c r="C80" s="65"/>
      <c r="D80" s="65"/>
      <c r="E80" s="66"/>
      <c r="F80" s="65"/>
      <c r="G80" s="67"/>
    </row>
    <row r="81" ht="15.75" customHeight="1">
      <c r="B81" s="65"/>
      <c r="C81" s="65"/>
      <c r="D81" s="65"/>
      <c r="E81" s="66"/>
      <c r="F81" s="65"/>
      <c r="G81" s="67"/>
    </row>
    <row r="82" ht="15.75" customHeight="1">
      <c r="B82" s="65"/>
      <c r="C82" s="65"/>
      <c r="D82" s="65"/>
      <c r="E82" s="66"/>
      <c r="F82" s="65"/>
      <c r="G82" s="67"/>
    </row>
    <row r="83" ht="15.75" customHeight="1">
      <c r="B83" s="65"/>
      <c r="C83" s="65"/>
      <c r="D83" s="65"/>
      <c r="E83" s="66"/>
      <c r="F83" s="65"/>
      <c r="G83" s="67"/>
    </row>
    <row r="84" ht="15.75" customHeight="1">
      <c r="B84" s="65"/>
      <c r="C84" s="65"/>
      <c r="D84" s="65"/>
      <c r="E84" s="66"/>
      <c r="F84" s="65"/>
      <c r="G84" s="67"/>
    </row>
    <row r="85" ht="15.75" customHeight="1">
      <c r="B85" s="65"/>
      <c r="C85" s="65"/>
      <c r="D85" s="65"/>
      <c r="E85" s="66"/>
      <c r="F85" s="65"/>
      <c r="G85" s="67"/>
    </row>
    <row r="86" ht="15.75" customHeight="1">
      <c r="B86" s="65"/>
      <c r="C86" s="65"/>
      <c r="D86" s="65"/>
      <c r="E86" s="66"/>
      <c r="F86" s="65"/>
      <c r="G86" s="67"/>
    </row>
    <row r="87" ht="15.75" customHeight="1">
      <c r="B87" s="65"/>
      <c r="C87" s="65"/>
      <c r="D87" s="65"/>
      <c r="E87" s="66"/>
      <c r="F87" s="65"/>
      <c r="G87" s="67"/>
    </row>
    <row r="88" ht="15.75" customHeight="1">
      <c r="B88" s="65"/>
      <c r="C88" s="65"/>
      <c r="D88" s="65"/>
      <c r="E88" s="66"/>
      <c r="F88" s="65"/>
      <c r="G88" s="67"/>
    </row>
    <row r="89" ht="15.75" customHeight="1">
      <c r="B89" s="65"/>
      <c r="C89" s="65"/>
      <c r="D89" s="65"/>
      <c r="E89" s="66"/>
      <c r="F89" s="65"/>
      <c r="G89" s="67"/>
    </row>
    <row r="90" ht="15.75" customHeight="1">
      <c r="B90" s="65"/>
      <c r="C90" s="65"/>
      <c r="D90" s="65"/>
      <c r="E90" s="66"/>
      <c r="F90" s="65"/>
      <c r="G90" s="67"/>
    </row>
    <row r="91" ht="15.75" customHeight="1">
      <c r="B91" s="65"/>
      <c r="C91" s="65"/>
      <c r="D91" s="65"/>
      <c r="E91" s="66"/>
      <c r="F91" s="65"/>
      <c r="G91" s="67"/>
    </row>
    <row r="92" ht="15.75" customHeight="1">
      <c r="B92" s="65"/>
      <c r="C92" s="65"/>
      <c r="D92" s="65"/>
      <c r="E92" s="66"/>
      <c r="F92" s="65"/>
      <c r="G92" s="67"/>
    </row>
    <row r="93" ht="15.75" customHeight="1">
      <c r="B93" s="65"/>
      <c r="C93" s="65"/>
      <c r="D93" s="65"/>
      <c r="E93" s="66"/>
      <c r="F93" s="65"/>
      <c r="G93" s="67"/>
    </row>
    <row r="94" ht="15.75" customHeight="1">
      <c r="B94" s="65"/>
      <c r="C94" s="65"/>
      <c r="D94" s="65"/>
      <c r="E94" s="66"/>
      <c r="F94" s="65"/>
      <c r="G94" s="67"/>
    </row>
    <row r="95" ht="15.75" customHeight="1">
      <c r="B95" s="65"/>
      <c r="C95" s="65"/>
      <c r="D95" s="65"/>
      <c r="E95" s="66"/>
      <c r="F95" s="65"/>
      <c r="G95" s="67"/>
    </row>
    <row r="96" ht="15.75" customHeight="1">
      <c r="B96" s="65"/>
      <c r="C96" s="65"/>
      <c r="D96" s="65"/>
      <c r="E96" s="66"/>
      <c r="F96" s="65"/>
      <c r="G96" s="67"/>
    </row>
    <row r="97" ht="15.75" customHeight="1">
      <c r="B97" s="65"/>
      <c r="C97" s="65"/>
      <c r="D97" s="65"/>
      <c r="E97" s="66"/>
      <c r="F97" s="65"/>
      <c r="G97" s="67"/>
    </row>
    <row r="98" ht="15.75" customHeight="1">
      <c r="B98" s="65"/>
      <c r="C98" s="65"/>
      <c r="D98" s="65"/>
      <c r="E98" s="66"/>
      <c r="F98" s="65"/>
      <c r="G98" s="67"/>
    </row>
    <row r="99" ht="15.75" customHeight="1">
      <c r="B99" s="65"/>
      <c r="C99" s="65"/>
      <c r="D99" s="65"/>
      <c r="E99" s="66"/>
      <c r="F99" s="65"/>
      <c r="G99" s="67"/>
    </row>
    <row r="100" ht="15.75" customHeight="1">
      <c r="B100" s="65"/>
      <c r="C100" s="65"/>
      <c r="D100" s="65"/>
      <c r="E100" s="66"/>
      <c r="F100" s="65"/>
      <c r="G100" s="67"/>
    </row>
    <row r="101" ht="15.75" customHeight="1">
      <c r="B101" s="65"/>
      <c r="C101" s="65"/>
      <c r="D101" s="65"/>
      <c r="E101" s="66"/>
      <c r="F101" s="65"/>
      <c r="G101" s="67"/>
    </row>
    <row r="102" ht="15.75" customHeight="1">
      <c r="B102" s="65"/>
      <c r="C102" s="65"/>
      <c r="D102" s="65"/>
      <c r="E102" s="66"/>
      <c r="F102" s="65"/>
      <c r="G102" s="67"/>
    </row>
    <row r="103" ht="15.75" customHeight="1">
      <c r="B103" s="65"/>
      <c r="C103" s="65"/>
      <c r="D103" s="65"/>
      <c r="E103" s="66"/>
      <c r="F103" s="65"/>
      <c r="G103" s="67"/>
    </row>
    <row r="104" ht="15.75" customHeight="1">
      <c r="B104" s="65"/>
      <c r="C104" s="65"/>
      <c r="D104" s="65"/>
      <c r="E104" s="66"/>
      <c r="F104" s="65"/>
      <c r="G104" s="67"/>
    </row>
    <row r="105" ht="15.75" customHeight="1">
      <c r="B105" s="65"/>
      <c r="C105" s="65"/>
      <c r="D105" s="65"/>
      <c r="E105" s="66"/>
      <c r="F105" s="65"/>
      <c r="G105" s="67"/>
    </row>
    <row r="106" ht="15.75" customHeight="1">
      <c r="B106" s="65"/>
      <c r="C106" s="65"/>
      <c r="D106" s="65"/>
      <c r="E106" s="66"/>
      <c r="F106" s="65"/>
      <c r="G106" s="67"/>
    </row>
    <row r="107" ht="15.75" customHeight="1">
      <c r="B107" s="65"/>
      <c r="C107" s="65"/>
      <c r="D107" s="65"/>
      <c r="E107" s="66"/>
      <c r="F107" s="65"/>
      <c r="G107" s="67"/>
    </row>
    <row r="108" ht="15.75" customHeight="1">
      <c r="B108" s="65"/>
      <c r="C108" s="65"/>
      <c r="D108" s="65"/>
      <c r="E108" s="66"/>
      <c r="F108" s="65"/>
      <c r="G108" s="67"/>
    </row>
    <row r="109" ht="15.75" customHeight="1">
      <c r="B109" s="65"/>
      <c r="C109" s="65"/>
      <c r="D109" s="65"/>
      <c r="E109" s="66"/>
      <c r="F109" s="65"/>
      <c r="G109" s="67"/>
    </row>
    <row r="110" ht="15.75" customHeight="1">
      <c r="B110" s="65"/>
      <c r="C110" s="65"/>
      <c r="D110" s="65"/>
      <c r="E110" s="66"/>
      <c r="F110" s="65"/>
      <c r="G110" s="67"/>
    </row>
    <row r="111" ht="15.75" customHeight="1">
      <c r="B111" s="65"/>
      <c r="C111" s="65"/>
      <c r="D111" s="65"/>
      <c r="E111" s="66"/>
      <c r="F111" s="65"/>
      <c r="G111" s="67"/>
    </row>
    <row r="112" ht="15.75" customHeight="1">
      <c r="B112" s="65"/>
      <c r="C112" s="65"/>
      <c r="D112" s="65"/>
      <c r="E112" s="66"/>
      <c r="F112" s="65"/>
      <c r="G112" s="67"/>
    </row>
    <row r="113" ht="15.75" customHeight="1">
      <c r="B113" s="65"/>
      <c r="C113" s="65"/>
      <c r="D113" s="65"/>
      <c r="E113" s="66"/>
      <c r="F113" s="65"/>
      <c r="G113" s="67"/>
    </row>
    <row r="114" ht="15.75" customHeight="1">
      <c r="B114" s="65"/>
      <c r="C114" s="65"/>
      <c r="D114" s="65"/>
      <c r="E114" s="66"/>
      <c r="F114" s="65"/>
      <c r="G114" s="67"/>
    </row>
    <row r="115" ht="15.75" customHeight="1">
      <c r="B115" s="65"/>
      <c r="C115" s="65"/>
      <c r="D115" s="65"/>
      <c r="E115" s="66"/>
      <c r="F115" s="65"/>
      <c r="G115" s="67"/>
    </row>
    <row r="116" ht="15.75" customHeight="1">
      <c r="B116" s="65"/>
      <c r="C116" s="65"/>
      <c r="D116" s="65"/>
      <c r="E116" s="66"/>
      <c r="F116" s="65"/>
      <c r="G116" s="67"/>
    </row>
    <row r="117" ht="15.75" customHeight="1">
      <c r="B117" s="65"/>
      <c r="C117" s="65"/>
      <c r="D117" s="65"/>
      <c r="E117" s="66"/>
      <c r="F117" s="65"/>
      <c r="G117" s="67"/>
    </row>
    <row r="118" ht="15.75" customHeight="1">
      <c r="B118" s="65"/>
      <c r="C118" s="65"/>
      <c r="D118" s="65"/>
      <c r="E118" s="66"/>
      <c r="F118" s="65"/>
      <c r="G118" s="67"/>
    </row>
    <row r="119" ht="15.75" customHeight="1">
      <c r="B119" s="65"/>
      <c r="C119" s="65"/>
      <c r="D119" s="65"/>
      <c r="E119" s="66"/>
      <c r="F119" s="65"/>
      <c r="G119" s="67"/>
    </row>
    <row r="120" ht="15.75" customHeight="1">
      <c r="B120" s="65"/>
      <c r="C120" s="65"/>
      <c r="D120" s="65"/>
      <c r="E120" s="66"/>
      <c r="F120" s="65"/>
      <c r="G120" s="67"/>
    </row>
    <row r="121" ht="15.75" customHeight="1">
      <c r="B121" s="65"/>
      <c r="C121" s="65"/>
      <c r="D121" s="65"/>
      <c r="E121" s="66"/>
      <c r="F121" s="65"/>
      <c r="G121" s="67"/>
    </row>
    <row r="122" ht="15.75" customHeight="1">
      <c r="B122" s="65"/>
      <c r="C122" s="65"/>
      <c r="D122" s="65"/>
      <c r="E122" s="66"/>
      <c r="F122" s="65"/>
      <c r="G122" s="67"/>
    </row>
    <row r="123" ht="15.75" customHeight="1">
      <c r="B123" s="65"/>
      <c r="C123" s="65"/>
      <c r="D123" s="65"/>
      <c r="E123" s="66"/>
      <c r="F123" s="65"/>
      <c r="G123" s="67"/>
    </row>
    <row r="124" ht="15.75" customHeight="1">
      <c r="B124" s="65"/>
      <c r="C124" s="65"/>
      <c r="D124" s="65"/>
      <c r="E124" s="66"/>
      <c r="F124" s="65"/>
      <c r="G124" s="67"/>
    </row>
    <row r="125" ht="15.75" customHeight="1">
      <c r="B125" s="65"/>
      <c r="C125" s="65"/>
      <c r="D125" s="65"/>
      <c r="E125" s="66"/>
      <c r="F125" s="65"/>
      <c r="G125" s="67"/>
    </row>
    <row r="126" ht="15.75" customHeight="1">
      <c r="B126" s="65"/>
      <c r="C126" s="65"/>
      <c r="D126" s="65"/>
      <c r="E126" s="66"/>
      <c r="F126" s="65"/>
      <c r="G126" s="67"/>
    </row>
    <row r="127" ht="15.75" customHeight="1">
      <c r="B127" s="65"/>
      <c r="C127" s="65"/>
      <c r="D127" s="65"/>
      <c r="E127" s="66"/>
      <c r="F127" s="65"/>
      <c r="G127" s="67"/>
    </row>
    <row r="128" ht="15.75" customHeight="1">
      <c r="B128" s="65"/>
      <c r="C128" s="65"/>
      <c r="D128" s="65"/>
      <c r="E128" s="66"/>
      <c r="F128" s="65"/>
      <c r="G128" s="67"/>
    </row>
    <row r="129" ht="15.75" customHeight="1">
      <c r="B129" s="65"/>
      <c r="C129" s="65"/>
      <c r="D129" s="65"/>
      <c r="E129" s="66"/>
      <c r="F129" s="65"/>
      <c r="G129" s="67"/>
    </row>
    <row r="130" ht="15.75" customHeight="1">
      <c r="B130" s="65"/>
      <c r="C130" s="65"/>
      <c r="D130" s="65"/>
      <c r="E130" s="66"/>
      <c r="F130" s="65"/>
      <c r="G130" s="67"/>
    </row>
    <row r="131" ht="15.75" customHeight="1">
      <c r="B131" s="65"/>
      <c r="C131" s="65"/>
      <c r="D131" s="65"/>
      <c r="E131" s="66"/>
      <c r="F131" s="65"/>
      <c r="G131" s="67"/>
    </row>
    <row r="132" ht="15.75" customHeight="1">
      <c r="B132" s="65"/>
      <c r="C132" s="65"/>
      <c r="D132" s="65"/>
      <c r="E132" s="66"/>
      <c r="F132" s="65"/>
      <c r="G132" s="67"/>
    </row>
    <row r="133" ht="15.75" customHeight="1">
      <c r="B133" s="65"/>
      <c r="C133" s="65"/>
      <c r="D133" s="65"/>
      <c r="E133" s="66"/>
      <c r="F133" s="65"/>
      <c r="G133" s="67"/>
    </row>
    <row r="134" ht="15.75" customHeight="1">
      <c r="B134" s="65"/>
      <c r="C134" s="65"/>
      <c r="D134" s="65"/>
      <c r="E134" s="66"/>
      <c r="F134" s="65"/>
      <c r="G134" s="67"/>
    </row>
    <row r="135" ht="15.75" customHeight="1">
      <c r="B135" s="65"/>
      <c r="C135" s="65"/>
      <c r="D135" s="65"/>
      <c r="E135" s="66"/>
      <c r="F135" s="65"/>
      <c r="G135" s="67"/>
    </row>
    <row r="136" ht="15.75" customHeight="1">
      <c r="B136" s="65"/>
      <c r="C136" s="65"/>
      <c r="D136" s="65"/>
      <c r="E136" s="66"/>
      <c r="F136" s="65"/>
      <c r="G136" s="67"/>
    </row>
    <row r="137" ht="15.75" customHeight="1">
      <c r="B137" s="65"/>
      <c r="C137" s="65"/>
      <c r="D137" s="65"/>
      <c r="E137" s="66"/>
      <c r="F137" s="65"/>
      <c r="G137" s="67"/>
    </row>
    <row r="138" ht="15.75" customHeight="1">
      <c r="B138" s="65"/>
      <c r="C138" s="65"/>
      <c r="D138" s="65"/>
      <c r="E138" s="66"/>
      <c r="F138" s="65"/>
      <c r="G138" s="67"/>
    </row>
    <row r="139" ht="15.75" customHeight="1">
      <c r="B139" s="65"/>
      <c r="C139" s="65"/>
      <c r="D139" s="65"/>
      <c r="E139" s="66"/>
      <c r="F139" s="65"/>
      <c r="G139" s="67"/>
    </row>
    <row r="140" ht="15.75" customHeight="1">
      <c r="B140" s="65"/>
      <c r="C140" s="65"/>
      <c r="D140" s="65"/>
      <c r="E140" s="66"/>
      <c r="F140" s="65"/>
      <c r="G140" s="67"/>
    </row>
    <row r="141" ht="15.75" customHeight="1">
      <c r="B141" s="65"/>
      <c r="C141" s="65"/>
      <c r="D141" s="65"/>
      <c r="E141" s="66"/>
      <c r="F141" s="65"/>
      <c r="G141" s="67"/>
    </row>
    <row r="142" ht="15.75" customHeight="1">
      <c r="B142" s="65"/>
      <c r="C142" s="65"/>
      <c r="D142" s="65"/>
      <c r="E142" s="66"/>
      <c r="F142" s="65"/>
      <c r="G142" s="67"/>
    </row>
    <row r="143" ht="15.75" customHeight="1">
      <c r="B143" s="65"/>
      <c r="C143" s="65"/>
      <c r="D143" s="65"/>
      <c r="E143" s="66"/>
      <c r="F143" s="65"/>
      <c r="G143" s="67"/>
    </row>
    <row r="144" ht="15.75" customHeight="1">
      <c r="B144" s="65"/>
      <c r="C144" s="65"/>
      <c r="D144" s="65"/>
      <c r="E144" s="66"/>
      <c r="F144" s="65"/>
      <c r="G144" s="67"/>
    </row>
    <row r="145" ht="15.75" customHeight="1">
      <c r="B145" s="65"/>
      <c r="C145" s="65"/>
      <c r="D145" s="65"/>
      <c r="E145" s="66"/>
      <c r="F145" s="65"/>
      <c r="G145" s="67"/>
    </row>
    <row r="146" ht="15.75" customHeight="1">
      <c r="B146" s="65"/>
      <c r="C146" s="65"/>
      <c r="D146" s="65"/>
      <c r="E146" s="66"/>
      <c r="F146" s="65"/>
      <c r="G146" s="67"/>
    </row>
    <row r="147" ht="15.75" customHeight="1">
      <c r="B147" s="65"/>
      <c r="C147" s="65"/>
      <c r="D147" s="65"/>
      <c r="E147" s="66"/>
      <c r="F147" s="65"/>
      <c r="G147" s="67"/>
    </row>
    <row r="148" ht="15.75" customHeight="1">
      <c r="B148" s="65"/>
      <c r="C148" s="65"/>
      <c r="D148" s="65"/>
      <c r="E148" s="66"/>
      <c r="F148" s="65"/>
      <c r="G148" s="67"/>
    </row>
    <row r="149" ht="15.75" customHeight="1">
      <c r="B149" s="65"/>
      <c r="C149" s="65"/>
      <c r="D149" s="65"/>
      <c r="E149" s="66"/>
      <c r="F149" s="65"/>
      <c r="G149" s="67"/>
    </row>
    <row r="150" ht="15.75" customHeight="1">
      <c r="B150" s="65"/>
      <c r="C150" s="65"/>
      <c r="D150" s="65"/>
      <c r="E150" s="66"/>
      <c r="F150" s="65"/>
      <c r="G150" s="67"/>
    </row>
    <row r="151" ht="15.75" customHeight="1">
      <c r="B151" s="65"/>
      <c r="C151" s="65"/>
      <c r="D151" s="65"/>
      <c r="E151" s="66"/>
      <c r="F151" s="65"/>
      <c r="G151" s="67"/>
    </row>
    <row r="152" ht="15.75" customHeight="1">
      <c r="B152" s="65"/>
      <c r="C152" s="65"/>
      <c r="D152" s="65"/>
      <c r="E152" s="66"/>
      <c r="F152" s="65"/>
      <c r="G152" s="67"/>
    </row>
    <row r="153" ht="15.75" customHeight="1">
      <c r="B153" s="65"/>
      <c r="C153" s="65"/>
      <c r="D153" s="65"/>
      <c r="E153" s="66"/>
      <c r="F153" s="65"/>
      <c r="G153" s="67"/>
    </row>
    <row r="154" ht="15.75" customHeight="1">
      <c r="B154" s="65"/>
      <c r="C154" s="65"/>
      <c r="D154" s="65"/>
      <c r="E154" s="66"/>
      <c r="F154" s="65"/>
      <c r="G154" s="67"/>
    </row>
    <row r="155" ht="15.75" customHeight="1">
      <c r="B155" s="65"/>
      <c r="C155" s="65"/>
      <c r="D155" s="65"/>
      <c r="E155" s="66"/>
      <c r="F155" s="65"/>
      <c r="G155" s="67"/>
    </row>
    <row r="156" ht="15.75" customHeight="1">
      <c r="B156" s="65"/>
      <c r="C156" s="65"/>
      <c r="D156" s="65"/>
      <c r="E156" s="66"/>
      <c r="F156" s="65"/>
      <c r="G156" s="67"/>
    </row>
    <row r="157" ht="15.75" customHeight="1">
      <c r="B157" s="65"/>
      <c r="C157" s="65"/>
      <c r="D157" s="65"/>
      <c r="E157" s="66"/>
      <c r="F157" s="65"/>
      <c r="G157" s="67"/>
    </row>
    <row r="158" ht="15.75" customHeight="1">
      <c r="B158" s="65"/>
      <c r="C158" s="65"/>
      <c r="D158" s="65"/>
      <c r="E158" s="66"/>
      <c r="F158" s="65"/>
      <c r="G158" s="67"/>
    </row>
    <row r="159" ht="15.75" customHeight="1">
      <c r="B159" s="65"/>
      <c r="C159" s="65"/>
      <c r="D159" s="65"/>
      <c r="E159" s="66"/>
      <c r="F159" s="65"/>
      <c r="G159" s="67"/>
    </row>
    <row r="160" ht="15.75" customHeight="1">
      <c r="B160" s="65"/>
      <c r="C160" s="65"/>
      <c r="D160" s="65"/>
      <c r="E160" s="66"/>
      <c r="F160" s="65"/>
      <c r="G160" s="67"/>
    </row>
    <row r="161" ht="15.75" customHeight="1">
      <c r="B161" s="65"/>
      <c r="C161" s="65"/>
      <c r="D161" s="65"/>
      <c r="E161" s="66"/>
      <c r="F161" s="65"/>
      <c r="G161" s="67"/>
    </row>
    <row r="162" ht="15.75" customHeight="1">
      <c r="B162" s="65"/>
      <c r="C162" s="65"/>
      <c r="D162" s="65"/>
      <c r="E162" s="66"/>
      <c r="F162" s="65"/>
      <c r="G162" s="67"/>
    </row>
    <row r="163" ht="15.75" customHeight="1">
      <c r="B163" s="65"/>
      <c r="C163" s="65"/>
      <c r="D163" s="65"/>
      <c r="E163" s="66"/>
      <c r="F163" s="65"/>
      <c r="G163" s="67"/>
    </row>
    <row r="164" ht="15.75" customHeight="1">
      <c r="B164" s="65"/>
      <c r="C164" s="65"/>
      <c r="D164" s="65"/>
      <c r="E164" s="66"/>
      <c r="F164" s="65"/>
      <c r="G164" s="67"/>
    </row>
    <row r="165" ht="15.75" customHeight="1">
      <c r="B165" s="65"/>
      <c r="C165" s="65"/>
      <c r="D165" s="65"/>
      <c r="E165" s="66"/>
      <c r="F165" s="65"/>
      <c r="G165" s="67"/>
    </row>
    <row r="166" ht="15.75" customHeight="1">
      <c r="B166" s="65"/>
      <c r="C166" s="65"/>
      <c r="D166" s="65"/>
      <c r="E166" s="66"/>
      <c r="F166" s="65"/>
      <c r="G166" s="67"/>
    </row>
    <row r="167" ht="15.75" customHeight="1">
      <c r="B167" s="65"/>
      <c r="C167" s="65"/>
      <c r="D167" s="65"/>
      <c r="E167" s="66"/>
      <c r="F167" s="65"/>
      <c r="G167" s="67"/>
    </row>
    <row r="168" ht="15.75" customHeight="1">
      <c r="B168" s="65"/>
      <c r="C168" s="65"/>
      <c r="D168" s="65"/>
      <c r="E168" s="66"/>
      <c r="F168" s="65"/>
      <c r="G168" s="67"/>
    </row>
    <row r="169" ht="15.75" customHeight="1">
      <c r="B169" s="65"/>
      <c r="C169" s="65"/>
      <c r="D169" s="65"/>
      <c r="E169" s="66"/>
      <c r="F169" s="65"/>
      <c r="G169" s="67"/>
    </row>
    <row r="170" ht="15.75" customHeight="1">
      <c r="B170" s="65"/>
      <c r="C170" s="65"/>
      <c r="D170" s="65"/>
      <c r="E170" s="66"/>
      <c r="F170" s="65"/>
      <c r="G170" s="67"/>
    </row>
    <row r="171" ht="15.75" customHeight="1">
      <c r="B171" s="65"/>
      <c r="C171" s="65"/>
      <c r="D171" s="65"/>
      <c r="E171" s="66"/>
      <c r="F171" s="65"/>
      <c r="G171" s="67"/>
    </row>
    <row r="172" ht="15.75" customHeight="1">
      <c r="B172" s="65"/>
      <c r="C172" s="65"/>
      <c r="D172" s="65"/>
      <c r="E172" s="66"/>
      <c r="F172" s="65"/>
      <c r="G172" s="67"/>
    </row>
    <row r="173" ht="15.75" customHeight="1">
      <c r="B173" s="65"/>
      <c r="C173" s="65"/>
      <c r="D173" s="65"/>
      <c r="E173" s="66"/>
      <c r="F173" s="65"/>
      <c r="G173" s="67"/>
    </row>
    <row r="174" ht="15.75" customHeight="1">
      <c r="B174" s="65"/>
      <c r="C174" s="65"/>
      <c r="D174" s="65"/>
      <c r="E174" s="66"/>
      <c r="F174" s="65"/>
      <c r="G174" s="67"/>
    </row>
    <row r="175" ht="15.75" customHeight="1">
      <c r="B175" s="65"/>
      <c r="C175" s="65"/>
      <c r="D175" s="65"/>
      <c r="E175" s="66"/>
      <c r="F175" s="65"/>
      <c r="G175" s="67"/>
    </row>
    <row r="176" ht="15.75" customHeight="1">
      <c r="B176" s="65"/>
      <c r="C176" s="65"/>
      <c r="D176" s="65"/>
      <c r="E176" s="66"/>
      <c r="F176" s="65"/>
      <c r="G176" s="67"/>
    </row>
    <row r="177" ht="15.75" customHeight="1">
      <c r="B177" s="65"/>
      <c r="C177" s="65"/>
      <c r="D177" s="65"/>
      <c r="E177" s="66"/>
      <c r="F177" s="65"/>
      <c r="G177" s="67"/>
    </row>
    <row r="178" ht="15.75" customHeight="1">
      <c r="B178" s="65"/>
      <c r="C178" s="65"/>
      <c r="D178" s="65"/>
      <c r="E178" s="66"/>
      <c r="F178" s="65"/>
      <c r="G178" s="67"/>
    </row>
    <row r="179" ht="15.75" customHeight="1">
      <c r="B179" s="65"/>
      <c r="C179" s="65"/>
      <c r="D179" s="65"/>
      <c r="E179" s="66"/>
      <c r="F179" s="65"/>
      <c r="G179" s="67"/>
    </row>
    <row r="180" ht="15.75" customHeight="1">
      <c r="B180" s="65"/>
      <c r="C180" s="65"/>
      <c r="D180" s="65"/>
      <c r="E180" s="66"/>
      <c r="F180" s="65"/>
      <c r="G180" s="67"/>
    </row>
    <row r="181" ht="15.75" customHeight="1">
      <c r="B181" s="65"/>
      <c r="C181" s="65"/>
      <c r="D181" s="65"/>
      <c r="E181" s="66"/>
      <c r="F181" s="65"/>
      <c r="G181" s="67"/>
    </row>
    <row r="182" ht="15.75" customHeight="1">
      <c r="B182" s="65"/>
      <c r="C182" s="65"/>
      <c r="D182" s="65"/>
      <c r="E182" s="66"/>
      <c r="F182" s="65"/>
      <c r="G182" s="67"/>
    </row>
    <row r="183" ht="15.75" customHeight="1">
      <c r="B183" s="65"/>
      <c r="C183" s="65"/>
      <c r="D183" s="65"/>
      <c r="E183" s="66"/>
      <c r="F183" s="65"/>
      <c r="G183" s="67"/>
    </row>
    <row r="184" ht="15.75" customHeight="1">
      <c r="B184" s="65"/>
      <c r="C184" s="65"/>
      <c r="D184" s="65"/>
      <c r="E184" s="66"/>
      <c r="F184" s="65"/>
      <c r="G184" s="67"/>
    </row>
    <row r="185" ht="15.75" customHeight="1">
      <c r="B185" s="65"/>
      <c r="C185" s="65"/>
      <c r="D185" s="65"/>
      <c r="E185" s="66"/>
      <c r="F185" s="65"/>
      <c r="G185" s="67"/>
    </row>
    <row r="186" ht="15.75" customHeight="1">
      <c r="B186" s="65"/>
      <c r="C186" s="65"/>
      <c r="D186" s="65"/>
      <c r="E186" s="66"/>
      <c r="F186" s="65"/>
      <c r="G186" s="67"/>
    </row>
    <row r="187" ht="15.75" customHeight="1">
      <c r="B187" s="65"/>
      <c r="C187" s="65"/>
      <c r="D187" s="65"/>
      <c r="E187" s="66"/>
      <c r="F187" s="65"/>
      <c r="G187" s="67"/>
    </row>
    <row r="188" ht="15.75" customHeight="1">
      <c r="B188" s="65"/>
      <c r="C188" s="65"/>
      <c r="D188" s="65"/>
      <c r="E188" s="66"/>
      <c r="F188" s="65"/>
      <c r="G188" s="67"/>
    </row>
    <row r="189" ht="15.75" customHeight="1">
      <c r="B189" s="65"/>
      <c r="C189" s="65"/>
      <c r="D189" s="65"/>
      <c r="E189" s="66"/>
      <c r="F189" s="65"/>
      <c r="G189" s="67"/>
    </row>
    <row r="190" ht="15.75" customHeight="1">
      <c r="B190" s="65"/>
      <c r="C190" s="65"/>
      <c r="D190" s="65"/>
      <c r="E190" s="66"/>
      <c r="F190" s="65"/>
      <c r="G190" s="67"/>
    </row>
    <row r="191" ht="15.75" customHeight="1">
      <c r="B191" s="65"/>
      <c r="C191" s="65"/>
      <c r="D191" s="65"/>
      <c r="E191" s="66"/>
      <c r="F191" s="65"/>
      <c r="G191" s="67"/>
    </row>
    <row r="192" ht="15.75" customHeight="1">
      <c r="B192" s="65"/>
      <c r="C192" s="65"/>
      <c r="D192" s="65"/>
      <c r="E192" s="66"/>
      <c r="F192" s="65"/>
      <c r="G192" s="67"/>
    </row>
    <row r="193" ht="15.75" customHeight="1">
      <c r="B193" s="65"/>
      <c r="C193" s="65"/>
      <c r="D193" s="65"/>
      <c r="E193" s="66"/>
      <c r="F193" s="65"/>
      <c r="G193" s="67"/>
    </row>
    <row r="194" ht="15.75" customHeight="1">
      <c r="B194" s="65"/>
      <c r="C194" s="65"/>
      <c r="D194" s="65"/>
      <c r="E194" s="66"/>
      <c r="F194" s="65"/>
      <c r="G194" s="67"/>
    </row>
    <row r="195" ht="15.75" customHeight="1">
      <c r="B195" s="65"/>
      <c r="C195" s="65"/>
      <c r="D195" s="65"/>
      <c r="E195" s="66"/>
      <c r="F195" s="65"/>
      <c r="G195" s="67"/>
    </row>
    <row r="196" ht="15.75" customHeight="1">
      <c r="B196" s="65"/>
      <c r="C196" s="65"/>
      <c r="D196" s="65"/>
      <c r="E196" s="66"/>
      <c r="F196" s="65"/>
      <c r="G196" s="67"/>
    </row>
    <row r="197" ht="15.75" customHeight="1">
      <c r="B197" s="65"/>
      <c r="C197" s="65"/>
      <c r="D197" s="65"/>
      <c r="E197" s="66"/>
      <c r="F197" s="65"/>
      <c r="G197" s="67"/>
    </row>
    <row r="198" ht="15.75" customHeight="1">
      <c r="B198" s="65"/>
      <c r="C198" s="65"/>
      <c r="D198" s="65"/>
      <c r="E198" s="66"/>
      <c r="F198" s="65"/>
      <c r="G198" s="67"/>
    </row>
    <row r="199" ht="15.75" customHeight="1">
      <c r="B199" s="65"/>
      <c r="C199" s="65"/>
      <c r="D199" s="65"/>
      <c r="E199" s="66"/>
      <c r="F199" s="65"/>
      <c r="G199" s="67"/>
    </row>
    <row r="200" ht="15.75" customHeight="1">
      <c r="B200" s="65"/>
      <c r="C200" s="65"/>
      <c r="D200" s="65"/>
      <c r="E200" s="66"/>
      <c r="F200" s="65"/>
      <c r="G200" s="67"/>
    </row>
    <row r="201" ht="15.75" customHeight="1">
      <c r="B201" s="65"/>
      <c r="C201" s="65"/>
      <c r="D201" s="65"/>
      <c r="E201" s="66"/>
      <c r="F201" s="65"/>
      <c r="G201" s="67"/>
    </row>
    <row r="202" ht="15.75" customHeight="1">
      <c r="B202" s="65"/>
      <c r="C202" s="65"/>
      <c r="D202" s="65"/>
      <c r="E202" s="66"/>
      <c r="F202" s="65"/>
      <c r="G202" s="67"/>
    </row>
    <row r="203" ht="15.75" customHeight="1">
      <c r="B203" s="65"/>
      <c r="C203" s="65"/>
      <c r="D203" s="65"/>
      <c r="E203" s="66"/>
      <c r="F203" s="65"/>
      <c r="G203" s="67"/>
    </row>
    <row r="204" ht="15.75" customHeight="1">
      <c r="B204" s="65"/>
      <c r="C204" s="65"/>
      <c r="D204" s="65"/>
      <c r="E204" s="66"/>
      <c r="F204" s="65"/>
      <c r="G204" s="67"/>
    </row>
    <row r="205" ht="15.75" customHeight="1">
      <c r="B205" s="65"/>
      <c r="C205" s="65"/>
      <c r="D205" s="65"/>
      <c r="E205" s="66"/>
      <c r="F205" s="65"/>
      <c r="G205" s="67"/>
    </row>
    <row r="206" ht="15.75" customHeight="1">
      <c r="B206" s="65"/>
      <c r="C206" s="65"/>
      <c r="D206" s="65"/>
      <c r="E206" s="66"/>
      <c r="F206" s="65"/>
      <c r="G206" s="67"/>
    </row>
    <row r="207" ht="15.75" customHeight="1">
      <c r="B207" s="65"/>
      <c r="C207" s="65"/>
      <c r="D207" s="65"/>
      <c r="E207" s="66"/>
      <c r="F207" s="65"/>
      <c r="G207" s="67"/>
    </row>
    <row r="208" ht="15.75" customHeight="1">
      <c r="B208" s="65"/>
      <c r="C208" s="65"/>
      <c r="D208" s="65"/>
      <c r="E208" s="66"/>
      <c r="F208" s="65"/>
      <c r="G208" s="67"/>
    </row>
    <row r="209" ht="15.75" customHeight="1">
      <c r="B209" s="65"/>
      <c r="C209" s="65"/>
      <c r="D209" s="65"/>
      <c r="E209" s="66"/>
      <c r="F209" s="65"/>
      <c r="G209" s="67"/>
    </row>
    <row r="210" ht="15.75" customHeight="1">
      <c r="B210" s="65"/>
      <c r="C210" s="65"/>
      <c r="D210" s="65"/>
      <c r="E210" s="66"/>
      <c r="F210" s="65"/>
      <c r="G210" s="67"/>
    </row>
    <row r="211" ht="15.75" customHeight="1">
      <c r="B211" s="65"/>
      <c r="C211" s="65"/>
      <c r="D211" s="65"/>
      <c r="E211" s="66"/>
      <c r="F211" s="65"/>
      <c r="G211" s="67"/>
    </row>
    <row r="212" ht="15.75" customHeight="1">
      <c r="B212" s="65"/>
      <c r="C212" s="65"/>
      <c r="D212" s="65"/>
      <c r="E212" s="66"/>
      <c r="F212" s="65"/>
      <c r="G212" s="67"/>
    </row>
    <row r="213" ht="15.75" customHeight="1">
      <c r="B213" s="65"/>
      <c r="C213" s="65"/>
      <c r="D213" s="65"/>
      <c r="E213" s="66"/>
      <c r="F213" s="65"/>
      <c r="G213" s="67"/>
    </row>
    <row r="214" ht="15.75" customHeight="1">
      <c r="B214" s="65"/>
      <c r="C214" s="65"/>
      <c r="D214" s="65"/>
      <c r="E214" s="66"/>
      <c r="F214" s="65"/>
      <c r="G214" s="67"/>
    </row>
    <row r="215" ht="15.75" customHeight="1">
      <c r="B215" s="65"/>
      <c r="C215" s="65"/>
      <c r="D215" s="65"/>
      <c r="E215" s="66"/>
      <c r="F215" s="65"/>
      <c r="G215" s="67"/>
    </row>
    <row r="216" ht="15.75" customHeight="1">
      <c r="B216" s="65"/>
      <c r="C216" s="65"/>
      <c r="D216" s="65"/>
      <c r="E216" s="66"/>
      <c r="F216" s="65"/>
      <c r="G216" s="67"/>
    </row>
    <row r="217" ht="15.75" customHeight="1">
      <c r="B217" s="65"/>
      <c r="C217" s="65"/>
      <c r="D217" s="65"/>
      <c r="E217" s="66"/>
      <c r="F217" s="65"/>
      <c r="G217" s="67"/>
    </row>
    <row r="218" ht="15.75" customHeight="1">
      <c r="B218" s="65"/>
      <c r="C218" s="65"/>
      <c r="D218" s="65"/>
      <c r="E218" s="66"/>
      <c r="F218" s="65"/>
      <c r="G218" s="67"/>
    </row>
    <row r="219" ht="15.75" customHeight="1">
      <c r="B219" s="65"/>
      <c r="C219" s="65"/>
      <c r="D219" s="65"/>
      <c r="E219" s="66"/>
      <c r="F219" s="65"/>
      <c r="G219" s="67"/>
    </row>
    <row r="220" ht="15.75" customHeight="1">
      <c r="B220" s="65"/>
      <c r="C220" s="65"/>
      <c r="D220" s="65"/>
      <c r="E220" s="66"/>
      <c r="F220" s="65"/>
      <c r="G220" s="67"/>
    </row>
    <row r="221" ht="15.75" customHeight="1">
      <c r="B221" s="65"/>
      <c r="C221" s="65"/>
      <c r="D221" s="65"/>
      <c r="E221" s="66"/>
      <c r="F221" s="65"/>
      <c r="G221" s="67"/>
    </row>
    <row r="222" ht="15.75" customHeight="1">
      <c r="B222" s="65"/>
      <c r="C222" s="65"/>
      <c r="D222" s="65"/>
      <c r="E222" s="66"/>
      <c r="F222" s="65"/>
      <c r="G222" s="67"/>
    </row>
    <row r="223" ht="15.75" customHeight="1">
      <c r="B223" s="65"/>
      <c r="C223" s="65"/>
      <c r="D223" s="65"/>
      <c r="E223" s="66"/>
      <c r="F223" s="65"/>
      <c r="G223" s="67"/>
    </row>
    <row r="224" ht="15.75" customHeight="1">
      <c r="B224" s="65"/>
      <c r="C224" s="65"/>
      <c r="D224" s="65"/>
      <c r="E224" s="66"/>
      <c r="F224" s="65"/>
      <c r="G224" s="67"/>
    </row>
    <row r="225" ht="15.75" customHeight="1">
      <c r="B225" s="65"/>
      <c r="C225" s="65"/>
      <c r="D225" s="65"/>
      <c r="E225" s="66"/>
      <c r="F225" s="65"/>
      <c r="G225" s="67"/>
    </row>
    <row r="226" ht="15.75" customHeight="1">
      <c r="B226" s="65"/>
      <c r="C226" s="65"/>
      <c r="D226" s="65"/>
      <c r="E226" s="66"/>
      <c r="F226" s="65"/>
      <c r="G226" s="67"/>
    </row>
    <row r="227" ht="15.75" customHeight="1">
      <c r="B227" s="65"/>
      <c r="C227" s="65"/>
      <c r="D227" s="65"/>
      <c r="E227" s="66"/>
      <c r="F227" s="65"/>
      <c r="G227" s="67"/>
    </row>
    <row r="228" ht="15.75" customHeight="1">
      <c r="B228" s="65"/>
      <c r="C228" s="65"/>
      <c r="D228" s="65"/>
      <c r="E228" s="66"/>
      <c r="F228" s="65"/>
      <c r="G228" s="67"/>
    </row>
    <row r="229" ht="15.75" customHeight="1">
      <c r="B229" s="65"/>
      <c r="C229" s="65"/>
      <c r="D229" s="65"/>
      <c r="E229" s="66"/>
      <c r="F229" s="65"/>
      <c r="G229" s="67"/>
    </row>
    <row r="230" ht="15.75" customHeight="1">
      <c r="B230" s="65"/>
      <c r="C230" s="65"/>
      <c r="D230" s="65"/>
      <c r="E230" s="66"/>
      <c r="F230" s="65"/>
      <c r="G230" s="67"/>
    </row>
    <row r="231" ht="15.75" customHeight="1">
      <c r="B231" s="65"/>
      <c r="C231" s="65"/>
      <c r="D231" s="65"/>
      <c r="E231" s="66"/>
      <c r="F231" s="65"/>
      <c r="G231" s="67"/>
    </row>
    <row r="232" ht="15.75" customHeight="1">
      <c r="B232" s="65"/>
      <c r="C232" s="65"/>
      <c r="D232" s="65"/>
      <c r="E232" s="66"/>
      <c r="F232" s="65"/>
      <c r="G232" s="67"/>
    </row>
    <row r="233" ht="15.75" customHeight="1">
      <c r="B233" s="65"/>
      <c r="C233" s="65"/>
      <c r="D233" s="65"/>
      <c r="E233" s="66"/>
      <c r="F233" s="65"/>
      <c r="G233" s="67"/>
    </row>
    <row r="234" ht="15.75" customHeight="1">
      <c r="B234" s="65"/>
      <c r="C234" s="65"/>
      <c r="D234" s="65"/>
      <c r="E234" s="66"/>
      <c r="F234" s="65"/>
      <c r="G234" s="67"/>
    </row>
    <row r="235" ht="15.75" customHeight="1">
      <c r="B235" s="65"/>
      <c r="C235" s="65"/>
      <c r="D235" s="65"/>
      <c r="E235" s="66"/>
      <c r="F235" s="65"/>
      <c r="G235" s="67"/>
    </row>
    <row r="236" ht="15.75" customHeight="1">
      <c r="B236" s="65"/>
      <c r="C236" s="65"/>
      <c r="D236" s="65"/>
      <c r="E236" s="66"/>
      <c r="F236" s="65"/>
      <c r="G236" s="67"/>
    </row>
    <row r="237" ht="15.75" customHeight="1">
      <c r="B237" s="65"/>
      <c r="C237" s="65"/>
      <c r="D237" s="65"/>
      <c r="E237" s="66"/>
      <c r="F237" s="65"/>
      <c r="G237" s="67"/>
    </row>
    <row r="238" ht="15.75" customHeight="1">
      <c r="B238" s="65"/>
      <c r="C238" s="65"/>
      <c r="D238" s="65"/>
      <c r="E238" s="66"/>
      <c r="F238" s="65"/>
      <c r="G238" s="67"/>
    </row>
    <row r="239" ht="15.75" customHeight="1">
      <c r="B239" s="65"/>
      <c r="C239" s="65"/>
      <c r="D239" s="65"/>
      <c r="E239" s="66"/>
      <c r="F239" s="65"/>
      <c r="G239" s="67"/>
    </row>
    <row r="240" ht="15.75" customHeight="1">
      <c r="B240" s="65"/>
      <c r="C240" s="65"/>
      <c r="D240" s="65"/>
      <c r="E240" s="66"/>
      <c r="F240" s="65"/>
      <c r="G240" s="67"/>
    </row>
    <row r="241" ht="15.75" customHeight="1">
      <c r="B241" s="65"/>
      <c r="C241" s="65"/>
      <c r="D241" s="65"/>
      <c r="E241" s="66"/>
      <c r="F241" s="65"/>
      <c r="G241" s="67"/>
    </row>
    <row r="242" ht="15.75" customHeight="1">
      <c r="B242" s="65"/>
      <c r="C242" s="65"/>
      <c r="D242" s="65"/>
      <c r="E242" s="66"/>
      <c r="F242" s="65"/>
      <c r="G242" s="67"/>
    </row>
    <row r="243" ht="15.75" customHeight="1">
      <c r="B243" s="65"/>
      <c r="C243" s="65"/>
      <c r="D243" s="65"/>
      <c r="E243" s="66"/>
      <c r="F243" s="65"/>
      <c r="G243" s="67"/>
    </row>
    <row r="244" ht="15.75" customHeight="1">
      <c r="B244" s="65"/>
      <c r="C244" s="65"/>
      <c r="D244" s="65"/>
      <c r="E244" s="66"/>
      <c r="F244" s="65"/>
      <c r="G244" s="67"/>
    </row>
    <row r="245" ht="15.75" customHeight="1">
      <c r="B245" s="65"/>
      <c r="C245" s="65"/>
      <c r="D245" s="65"/>
      <c r="E245" s="66"/>
      <c r="F245" s="65"/>
      <c r="G245" s="67"/>
    </row>
    <row r="246" ht="15.75" customHeight="1">
      <c r="B246" s="65"/>
      <c r="C246" s="65"/>
      <c r="D246" s="65"/>
      <c r="E246" s="66"/>
      <c r="F246" s="65"/>
      <c r="G246" s="67"/>
    </row>
    <row r="247" ht="15.75" customHeight="1">
      <c r="B247" s="65"/>
      <c r="C247" s="65"/>
      <c r="D247" s="65"/>
      <c r="E247" s="66"/>
      <c r="F247" s="65"/>
      <c r="G247" s="67"/>
    </row>
    <row r="248" ht="15.75" customHeight="1">
      <c r="B248" s="65"/>
      <c r="C248" s="65"/>
      <c r="D248" s="65"/>
      <c r="E248" s="66"/>
      <c r="F248" s="65"/>
      <c r="G248" s="67"/>
    </row>
    <row r="249" ht="15.75" customHeight="1">
      <c r="B249" s="65"/>
      <c r="C249" s="65"/>
      <c r="D249" s="65"/>
      <c r="E249" s="66"/>
      <c r="F249" s="65"/>
      <c r="G249" s="67"/>
    </row>
    <row r="250" ht="15.75" customHeight="1">
      <c r="B250" s="65"/>
      <c r="C250" s="65"/>
      <c r="D250" s="65"/>
      <c r="E250" s="66"/>
      <c r="F250" s="65"/>
      <c r="G250" s="67"/>
    </row>
    <row r="251" ht="15.75" customHeight="1">
      <c r="B251" s="65"/>
      <c r="C251" s="65"/>
      <c r="D251" s="65"/>
      <c r="E251" s="66"/>
      <c r="F251" s="65"/>
      <c r="G251" s="67"/>
    </row>
    <row r="252" ht="15.75" customHeight="1">
      <c r="B252" s="65"/>
      <c r="C252" s="65"/>
      <c r="D252" s="65"/>
      <c r="E252" s="66"/>
      <c r="F252" s="65"/>
      <c r="G252" s="67"/>
    </row>
    <row r="253" ht="15.75" customHeight="1">
      <c r="B253" s="65"/>
      <c r="C253" s="65"/>
      <c r="D253" s="65"/>
      <c r="E253" s="66"/>
      <c r="F253" s="65"/>
      <c r="G253" s="67"/>
    </row>
    <row r="254" ht="15.75" customHeight="1">
      <c r="B254" s="65"/>
      <c r="C254" s="65"/>
      <c r="D254" s="65"/>
      <c r="E254" s="66"/>
      <c r="F254" s="65"/>
      <c r="G254" s="67"/>
    </row>
    <row r="255" ht="15.75" customHeight="1">
      <c r="B255" s="65"/>
      <c r="C255" s="65"/>
      <c r="D255" s="65"/>
      <c r="E255" s="66"/>
      <c r="F255" s="65"/>
      <c r="G255" s="67"/>
    </row>
    <row r="256" ht="15.75" customHeight="1">
      <c r="B256" s="65"/>
      <c r="C256" s="65"/>
      <c r="D256" s="65"/>
      <c r="E256" s="66"/>
      <c r="F256" s="65"/>
      <c r="G256" s="67"/>
    </row>
    <row r="257" ht="15.75" customHeight="1">
      <c r="B257" s="65"/>
      <c r="C257" s="65"/>
      <c r="D257" s="65"/>
      <c r="E257" s="66"/>
      <c r="F257" s="65"/>
      <c r="G257" s="67"/>
    </row>
    <row r="258" ht="15.75" customHeight="1">
      <c r="B258" s="65"/>
      <c r="C258" s="65"/>
      <c r="D258" s="65"/>
      <c r="E258" s="66"/>
      <c r="F258" s="65"/>
      <c r="G258" s="67"/>
    </row>
    <row r="259" ht="15.75" customHeight="1">
      <c r="B259" s="65"/>
      <c r="C259" s="65"/>
      <c r="D259" s="65"/>
      <c r="E259" s="66"/>
      <c r="F259" s="65"/>
      <c r="G259" s="67"/>
    </row>
    <row r="260" ht="15.75" customHeight="1">
      <c r="B260" s="65"/>
      <c r="C260" s="65"/>
      <c r="D260" s="65"/>
      <c r="E260" s="66"/>
      <c r="F260" s="65"/>
      <c r="G260" s="67"/>
    </row>
    <row r="261" ht="15.75" customHeight="1">
      <c r="B261" s="65"/>
      <c r="C261" s="65"/>
      <c r="D261" s="65"/>
      <c r="E261" s="66"/>
      <c r="F261" s="65"/>
      <c r="G261" s="67"/>
    </row>
    <row r="262" ht="15.75" customHeight="1">
      <c r="B262" s="65"/>
      <c r="C262" s="65"/>
      <c r="D262" s="65"/>
      <c r="E262" s="66"/>
      <c r="F262" s="65"/>
      <c r="G262" s="67"/>
    </row>
    <row r="263" ht="15.75" customHeight="1">
      <c r="B263" s="65"/>
      <c r="C263" s="65"/>
      <c r="D263" s="65"/>
      <c r="E263" s="66"/>
      <c r="F263" s="65"/>
      <c r="G263" s="67"/>
    </row>
    <row r="264" ht="15.75" customHeight="1">
      <c r="B264" s="65"/>
      <c r="C264" s="65"/>
      <c r="D264" s="65"/>
      <c r="E264" s="66"/>
      <c r="F264" s="65"/>
      <c r="G264" s="67"/>
    </row>
    <row r="265" ht="15.75" customHeight="1">
      <c r="B265" s="65"/>
      <c r="C265" s="65"/>
      <c r="D265" s="65"/>
      <c r="E265" s="66"/>
      <c r="F265" s="65"/>
      <c r="G265" s="67"/>
    </row>
    <row r="266" ht="15.75" customHeight="1">
      <c r="B266" s="65"/>
      <c r="C266" s="65"/>
      <c r="D266" s="65"/>
      <c r="E266" s="66"/>
      <c r="F266" s="65"/>
      <c r="G266" s="67"/>
    </row>
    <row r="267" ht="15.75" customHeight="1">
      <c r="B267" s="65"/>
      <c r="C267" s="65"/>
      <c r="D267" s="65"/>
      <c r="E267" s="66"/>
      <c r="F267" s="65"/>
      <c r="G267" s="67"/>
    </row>
    <row r="268" ht="15.75" customHeight="1">
      <c r="B268" s="65"/>
      <c r="C268" s="65"/>
      <c r="D268" s="65"/>
      <c r="E268" s="66"/>
      <c r="F268" s="65"/>
      <c r="G268" s="67"/>
    </row>
    <row r="269" ht="15.75" customHeight="1">
      <c r="B269" s="65"/>
      <c r="C269" s="65"/>
      <c r="D269" s="65"/>
      <c r="E269" s="66"/>
      <c r="F269" s="65"/>
      <c r="G269" s="67"/>
    </row>
    <row r="270" ht="15.75" customHeight="1">
      <c r="B270" s="65"/>
      <c r="C270" s="65"/>
      <c r="D270" s="65"/>
      <c r="E270" s="66"/>
      <c r="F270" s="65"/>
      <c r="G270" s="67"/>
    </row>
    <row r="271" ht="15.75" customHeight="1">
      <c r="B271" s="65"/>
      <c r="C271" s="65"/>
      <c r="D271" s="65"/>
      <c r="E271" s="66"/>
      <c r="F271" s="65"/>
      <c r="G271" s="67"/>
    </row>
    <row r="272" ht="15.75" customHeight="1">
      <c r="B272" s="65"/>
      <c r="C272" s="65"/>
      <c r="D272" s="65"/>
      <c r="E272" s="66"/>
      <c r="F272" s="65"/>
      <c r="G272" s="67"/>
    </row>
    <row r="273" ht="15.75" customHeight="1">
      <c r="B273" s="65"/>
      <c r="C273" s="65"/>
      <c r="D273" s="65"/>
      <c r="E273" s="66"/>
      <c r="F273" s="65"/>
      <c r="G273" s="67"/>
    </row>
    <row r="274" ht="15.75" customHeight="1">
      <c r="B274" s="65"/>
      <c r="C274" s="65"/>
      <c r="D274" s="65"/>
      <c r="E274" s="66"/>
      <c r="F274" s="65"/>
      <c r="G274" s="67"/>
    </row>
    <row r="275" ht="15.75" customHeight="1">
      <c r="B275" s="65"/>
      <c r="C275" s="65"/>
      <c r="D275" s="65"/>
      <c r="E275" s="66"/>
      <c r="F275" s="65"/>
      <c r="G275" s="67"/>
    </row>
    <row r="276" ht="15.75" customHeight="1">
      <c r="B276" s="65"/>
      <c r="C276" s="65"/>
      <c r="D276" s="65"/>
      <c r="E276" s="66"/>
      <c r="F276" s="65"/>
      <c r="G276" s="67"/>
    </row>
    <row r="277" ht="15.75" customHeight="1">
      <c r="B277" s="65"/>
      <c r="C277" s="65"/>
      <c r="D277" s="65"/>
      <c r="E277" s="66"/>
      <c r="F277" s="65"/>
      <c r="G277" s="67"/>
    </row>
    <row r="278" ht="15.75" customHeight="1">
      <c r="B278" s="65"/>
      <c r="C278" s="65"/>
      <c r="D278" s="65"/>
      <c r="E278" s="66"/>
      <c r="F278" s="65"/>
      <c r="G278" s="67"/>
    </row>
    <row r="279" ht="15.75" customHeight="1">
      <c r="B279" s="65"/>
      <c r="C279" s="65"/>
      <c r="D279" s="65"/>
      <c r="E279" s="66"/>
      <c r="F279" s="65"/>
      <c r="G279" s="67"/>
    </row>
    <row r="280" ht="15.75" customHeight="1">
      <c r="B280" s="65"/>
      <c r="C280" s="65"/>
      <c r="D280" s="65"/>
      <c r="E280" s="66"/>
      <c r="F280" s="65"/>
      <c r="G280" s="67"/>
    </row>
    <row r="281" ht="15.75" customHeight="1">
      <c r="B281" s="65"/>
      <c r="C281" s="65"/>
      <c r="D281" s="65"/>
      <c r="E281" s="66"/>
      <c r="F281" s="65"/>
      <c r="G281" s="67"/>
    </row>
    <row r="282" ht="15.75" customHeight="1">
      <c r="B282" s="65"/>
      <c r="C282" s="65"/>
      <c r="D282" s="65"/>
      <c r="E282" s="66"/>
      <c r="F282" s="65"/>
      <c r="G282" s="67"/>
    </row>
    <row r="283" ht="15.75" customHeight="1">
      <c r="B283" s="65"/>
      <c r="C283" s="65"/>
      <c r="D283" s="65"/>
      <c r="E283" s="66"/>
      <c r="F283" s="65"/>
      <c r="G283" s="67"/>
    </row>
    <row r="284" ht="15.75" customHeight="1">
      <c r="B284" s="65"/>
      <c r="C284" s="65"/>
      <c r="D284" s="65"/>
      <c r="E284" s="66"/>
      <c r="F284" s="65"/>
      <c r="G284" s="67"/>
    </row>
    <row r="285" ht="15.75" customHeight="1">
      <c r="B285" s="65"/>
      <c r="C285" s="65"/>
      <c r="D285" s="65"/>
      <c r="E285" s="66"/>
      <c r="F285" s="65"/>
      <c r="G285" s="67"/>
    </row>
    <row r="286" ht="15.75" customHeight="1">
      <c r="B286" s="65"/>
      <c r="C286" s="65"/>
      <c r="D286" s="65"/>
      <c r="E286" s="66"/>
      <c r="F286" s="65"/>
      <c r="G286" s="67"/>
    </row>
    <row r="287" ht="15.75" customHeight="1">
      <c r="B287" s="65"/>
      <c r="C287" s="65"/>
      <c r="D287" s="65"/>
      <c r="E287" s="66"/>
      <c r="F287" s="65"/>
      <c r="G287" s="67"/>
    </row>
    <row r="288" ht="15.75" customHeight="1">
      <c r="B288" s="65"/>
      <c r="C288" s="65"/>
      <c r="D288" s="65"/>
      <c r="E288" s="66"/>
      <c r="F288" s="65"/>
      <c r="G288" s="67"/>
    </row>
    <row r="289" ht="15.75" customHeight="1">
      <c r="B289" s="65"/>
      <c r="C289" s="65"/>
      <c r="D289" s="65"/>
      <c r="E289" s="66"/>
      <c r="F289" s="65"/>
      <c r="G289" s="67"/>
    </row>
    <row r="290" ht="15.75" customHeight="1">
      <c r="B290" s="65"/>
      <c r="C290" s="65"/>
      <c r="D290" s="65"/>
      <c r="E290" s="66"/>
      <c r="F290" s="65"/>
      <c r="G290" s="67"/>
    </row>
    <row r="291" ht="15.75" customHeight="1">
      <c r="B291" s="65"/>
      <c r="C291" s="65"/>
      <c r="D291" s="65"/>
      <c r="E291" s="66"/>
      <c r="F291" s="65"/>
      <c r="G291" s="67"/>
    </row>
    <row r="292" ht="15.75" customHeight="1">
      <c r="B292" s="65"/>
      <c r="C292" s="65"/>
      <c r="D292" s="65"/>
      <c r="E292" s="66"/>
      <c r="F292" s="65"/>
      <c r="G292" s="67"/>
    </row>
    <row r="293" ht="15.75" customHeight="1">
      <c r="B293" s="65"/>
      <c r="C293" s="65"/>
      <c r="D293" s="65"/>
      <c r="E293" s="66"/>
      <c r="F293" s="65"/>
      <c r="G293" s="67"/>
    </row>
    <row r="294" ht="15.75" customHeight="1">
      <c r="B294" s="65"/>
      <c r="C294" s="65"/>
      <c r="D294" s="65"/>
      <c r="E294" s="66"/>
      <c r="F294" s="65"/>
      <c r="G294" s="67"/>
    </row>
    <row r="295" ht="15.75" customHeight="1">
      <c r="B295" s="65"/>
      <c r="C295" s="65"/>
      <c r="D295" s="65"/>
      <c r="E295" s="66"/>
      <c r="F295" s="65"/>
      <c r="G295" s="67"/>
    </row>
    <row r="296" ht="15.75" customHeight="1">
      <c r="B296" s="65"/>
      <c r="C296" s="65"/>
      <c r="D296" s="65"/>
      <c r="E296" s="66"/>
      <c r="F296" s="65"/>
      <c r="G296" s="67"/>
    </row>
    <row r="297" ht="15.75" customHeight="1">
      <c r="B297" s="65"/>
      <c r="C297" s="65"/>
      <c r="D297" s="65"/>
      <c r="E297" s="66"/>
      <c r="F297" s="65"/>
      <c r="G297" s="67"/>
    </row>
    <row r="298" ht="15.75" customHeight="1">
      <c r="B298" s="65"/>
      <c r="C298" s="65"/>
      <c r="D298" s="65"/>
      <c r="E298" s="66"/>
      <c r="F298" s="65"/>
      <c r="G298" s="67"/>
    </row>
    <row r="299" ht="15.75" customHeight="1">
      <c r="B299" s="65"/>
      <c r="C299" s="65"/>
      <c r="D299" s="65"/>
      <c r="E299" s="66"/>
      <c r="F299" s="65"/>
      <c r="G299" s="67"/>
    </row>
    <row r="300" ht="15.75" customHeight="1">
      <c r="B300" s="65"/>
      <c r="C300" s="65"/>
      <c r="D300" s="65"/>
      <c r="E300" s="66"/>
      <c r="F300" s="65"/>
      <c r="G300" s="67"/>
    </row>
    <row r="301" ht="15.75" customHeight="1">
      <c r="B301" s="65"/>
      <c r="C301" s="65"/>
      <c r="D301" s="65"/>
      <c r="E301" s="66"/>
      <c r="F301" s="65"/>
      <c r="G301" s="67"/>
    </row>
    <row r="302" ht="15.75" customHeight="1">
      <c r="B302" s="65"/>
      <c r="C302" s="65"/>
      <c r="D302" s="65"/>
      <c r="E302" s="66"/>
      <c r="F302" s="65"/>
      <c r="G302" s="67"/>
    </row>
    <row r="303" ht="15.75" customHeight="1">
      <c r="B303" s="65"/>
      <c r="C303" s="65"/>
      <c r="D303" s="65"/>
      <c r="E303" s="66"/>
      <c r="F303" s="65"/>
      <c r="G303" s="67"/>
    </row>
    <row r="304" ht="15.75" customHeight="1">
      <c r="B304" s="65"/>
      <c r="C304" s="65"/>
      <c r="D304" s="65"/>
      <c r="E304" s="66"/>
      <c r="F304" s="65"/>
      <c r="G304" s="67"/>
    </row>
    <row r="305" ht="15.75" customHeight="1">
      <c r="B305" s="65"/>
      <c r="C305" s="65"/>
      <c r="D305" s="65"/>
      <c r="E305" s="66"/>
      <c r="F305" s="65"/>
      <c r="G305" s="67"/>
    </row>
    <row r="306" ht="15.75" customHeight="1">
      <c r="B306" s="65"/>
      <c r="C306" s="65"/>
      <c r="D306" s="65"/>
      <c r="E306" s="66"/>
      <c r="F306" s="65"/>
      <c r="G306" s="67"/>
    </row>
    <row r="307" ht="15.75" customHeight="1">
      <c r="B307" s="65"/>
      <c r="C307" s="65"/>
      <c r="D307" s="65"/>
      <c r="E307" s="66"/>
      <c r="F307" s="65"/>
      <c r="G307" s="67"/>
    </row>
    <row r="308" ht="15.75" customHeight="1">
      <c r="B308" s="65"/>
      <c r="C308" s="65"/>
      <c r="D308" s="65"/>
      <c r="E308" s="66"/>
      <c r="F308" s="65"/>
      <c r="G308" s="67"/>
    </row>
    <row r="309" ht="15.75" customHeight="1">
      <c r="B309" s="65"/>
      <c r="C309" s="65"/>
      <c r="D309" s="65"/>
      <c r="E309" s="66"/>
      <c r="F309" s="65"/>
      <c r="G309" s="67"/>
    </row>
    <row r="310" ht="15.75" customHeight="1">
      <c r="B310" s="65"/>
      <c r="C310" s="65"/>
      <c r="D310" s="65"/>
      <c r="E310" s="66"/>
      <c r="F310" s="65"/>
      <c r="G310" s="67"/>
    </row>
    <row r="311" ht="15.75" customHeight="1">
      <c r="B311" s="65"/>
      <c r="C311" s="65"/>
      <c r="D311" s="65"/>
      <c r="E311" s="66"/>
      <c r="F311" s="65"/>
      <c r="G311" s="67"/>
    </row>
    <row r="312" ht="15.75" customHeight="1">
      <c r="B312" s="65"/>
      <c r="C312" s="65"/>
      <c r="D312" s="65"/>
      <c r="E312" s="66"/>
      <c r="F312" s="65"/>
      <c r="G312" s="67"/>
    </row>
    <row r="313" ht="15.75" customHeight="1">
      <c r="B313" s="65"/>
      <c r="C313" s="65"/>
      <c r="D313" s="65"/>
      <c r="E313" s="66"/>
      <c r="F313" s="65"/>
      <c r="G313" s="67"/>
    </row>
    <row r="314" ht="15.75" customHeight="1">
      <c r="B314" s="65"/>
      <c r="C314" s="65"/>
      <c r="D314" s="65"/>
      <c r="E314" s="66"/>
      <c r="F314" s="65"/>
      <c r="G314" s="67"/>
    </row>
    <row r="315" ht="15.75" customHeight="1">
      <c r="B315" s="65"/>
      <c r="C315" s="65"/>
      <c r="D315" s="65"/>
      <c r="E315" s="66"/>
      <c r="F315" s="65"/>
      <c r="G315" s="67"/>
    </row>
    <row r="316" ht="15.75" customHeight="1">
      <c r="B316" s="65"/>
      <c r="C316" s="65"/>
      <c r="D316" s="65"/>
      <c r="E316" s="66"/>
      <c r="F316" s="65"/>
      <c r="G316" s="67"/>
    </row>
    <row r="317" ht="15.75" customHeight="1">
      <c r="B317" s="65"/>
      <c r="C317" s="65"/>
      <c r="D317" s="65"/>
      <c r="E317" s="66"/>
      <c r="F317" s="65"/>
      <c r="G317" s="67"/>
    </row>
    <row r="318" ht="15.75" customHeight="1">
      <c r="B318" s="65"/>
      <c r="C318" s="65"/>
      <c r="D318" s="65"/>
      <c r="E318" s="66"/>
      <c r="F318" s="65"/>
      <c r="G318" s="67"/>
    </row>
    <row r="319" ht="15.75" customHeight="1">
      <c r="B319" s="65"/>
      <c r="C319" s="65"/>
      <c r="D319" s="65"/>
      <c r="E319" s="66"/>
      <c r="F319" s="65"/>
      <c r="G319" s="67"/>
    </row>
    <row r="320" ht="15.75" customHeight="1">
      <c r="B320" s="65"/>
      <c r="C320" s="65"/>
      <c r="D320" s="65"/>
      <c r="E320" s="66"/>
      <c r="F320" s="65"/>
      <c r="G320" s="67"/>
    </row>
    <row r="321" ht="15.75" customHeight="1">
      <c r="B321" s="65"/>
      <c r="C321" s="65"/>
      <c r="D321" s="65"/>
      <c r="E321" s="66"/>
      <c r="F321" s="65"/>
      <c r="G321" s="67"/>
    </row>
    <row r="322" ht="15.75" customHeight="1">
      <c r="B322" s="65"/>
      <c r="C322" s="65"/>
      <c r="D322" s="65"/>
      <c r="E322" s="66"/>
      <c r="F322" s="65"/>
      <c r="G322" s="67"/>
    </row>
    <row r="323" ht="15.75" customHeight="1">
      <c r="B323" s="65"/>
      <c r="C323" s="65"/>
      <c r="D323" s="65"/>
      <c r="E323" s="66"/>
      <c r="F323" s="65"/>
      <c r="G323" s="67"/>
    </row>
    <row r="324" ht="15.75" customHeight="1">
      <c r="B324" s="65"/>
      <c r="C324" s="65"/>
      <c r="D324" s="65"/>
      <c r="E324" s="66"/>
      <c r="F324" s="65"/>
      <c r="G324" s="67"/>
    </row>
    <row r="325" ht="15.75" customHeight="1">
      <c r="B325" s="65"/>
      <c r="C325" s="65"/>
      <c r="D325" s="65"/>
      <c r="E325" s="66"/>
      <c r="F325" s="65"/>
      <c r="G325" s="67"/>
    </row>
    <row r="326" ht="15.75" customHeight="1">
      <c r="B326" s="65"/>
      <c r="C326" s="65"/>
      <c r="D326" s="65"/>
      <c r="E326" s="66"/>
      <c r="F326" s="65"/>
      <c r="G326" s="67"/>
    </row>
    <row r="327" ht="15.75" customHeight="1">
      <c r="B327" s="65"/>
      <c r="C327" s="65"/>
      <c r="D327" s="65"/>
      <c r="E327" s="66"/>
      <c r="F327" s="65"/>
      <c r="G327" s="67"/>
    </row>
    <row r="328" ht="15.75" customHeight="1">
      <c r="B328" s="65"/>
      <c r="C328" s="65"/>
      <c r="D328" s="65"/>
      <c r="E328" s="66"/>
      <c r="F328" s="65"/>
      <c r="G328" s="67"/>
    </row>
    <row r="329" ht="15.75" customHeight="1">
      <c r="B329" s="65"/>
      <c r="C329" s="65"/>
      <c r="D329" s="65"/>
      <c r="E329" s="66"/>
      <c r="F329" s="65"/>
      <c r="G329" s="67"/>
    </row>
    <row r="330" ht="15.75" customHeight="1">
      <c r="B330" s="65"/>
      <c r="C330" s="65"/>
      <c r="D330" s="65"/>
      <c r="E330" s="66"/>
      <c r="F330" s="65"/>
      <c r="G330" s="67"/>
    </row>
    <row r="331" ht="15.75" customHeight="1">
      <c r="B331" s="65"/>
      <c r="C331" s="65"/>
      <c r="D331" s="65"/>
      <c r="E331" s="66"/>
      <c r="F331" s="65"/>
      <c r="G331" s="67"/>
    </row>
    <row r="332" ht="15.75" customHeight="1">
      <c r="B332" s="65"/>
      <c r="C332" s="65"/>
      <c r="D332" s="65"/>
      <c r="E332" s="66"/>
      <c r="F332" s="65"/>
      <c r="G332" s="67"/>
    </row>
    <row r="333" ht="15.75" customHeight="1">
      <c r="B333" s="65"/>
      <c r="C333" s="65"/>
      <c r="D333" s="65"/>
      <c r="E333" s="66"/>
      <c r="F333" s="65"/>
      <c r="G333" s="67"/>
    </row>
    <row r="334" ht="15.75" customHeight="1">
      <c r="B334" s="65"/>
      <c r="C334" s="65"/>
      <c r="D334" s="65"/>
      <c r="E334" s="66"/>
      <c r="F334" s="65"/>
      <c r="G334" s="67"/>
    </row>
    <row r="335" ht="15.75" customHeight="1">
      <c r="B335" s="65"/>
      <c r="C335" s="65"/>
      <c r="D335" s="65"/>
      <c r="E335" s="66"/>
      <c r="F335" s="65"/>
      <c r="G335" s="67"/>
    </row>
    <row r="336" ht="15.75" customHeight="1">
      <c r="B336" s="65"/>
      <c r="C336" s="65"/>
      <c r="D336" s="65"/>
      <c r="E336" s="66"/>
      <c r="F336" s="65"/>
      <c r="G336" s="67"/>
    </row>
    <row r="337" ht="15.75" customHeight="1">
      <c r="B337" s="65"/>
      <c r="C337" s="65"/>
      <c r="D337" s="65"/>
      <c r="E337" s="66"/>
      <c r="F337" s="65"/>
      <c r="G337" s="67"/>
    </row>
    <row r="338" ht="15.75" customHeight="1">
      <c r="B338" s="65"/>
      <c r="C338" s="65"/>
      <c r="D338" s="65"/>
      <c r="E338" s="66"/>
      <c r="F338" s="65"/>
      <c r="G338" s="67"/>
    </row>
    <row r="339" ht="15.75" customHeight="1">
      <c r="B339" s="65"/>
      <c r="C339" s="65"/>
      <c r="D339" s="65"/>
      <c r="E339" s="66"/>
      <c r="F339" s="65"/>
      <c r="G339" s="67"/>
    </row>
    <row r="340" ht="15.75" customHeight="1">
      <c r="B340" s="65"/>
      <c r="C340" s="65"/>
      <c r="D340" s="65"/>
      <c r="E340" s="66"/>
      <c r="F340" s="65"/>
      <c r="G340" s="67"/>
    </row>
    <row r="341" ht="15.75" customHeight="1">
      <c r="B341" s="65"/>
      <c r="C341" s="65"/>
      <c r="D341" s="65"/>
      <c r="E341" s="66"/>
      <c r="F341" s="65"/>
      <c r="G341" s="67"/>
    </row>
    <row r="342" ht="15.75" customHeight="1">
      <c r="B342" s="65"/>
      <c r="C342" s="65"/>
      <c r="D342" s="65"/>
      <c r="E342" s="66"/>
      <c r="F342" s="65"/>
      <c r="G342" s="67"/>
    </row>
    <row r="343" ht="15.75" customHeight="1">
      <c r="B343" s="65"/>
      <c r="C343" s="65"/>
      <c r="D343" s="65"/>
      <c r="E343" s="66"/>
      <c r="F343" s="65"/>
      <c r="G343" s="67"/>
    </row>
    <row r="344" ht="15.75" customHeight="1">
      <c r="B344" s="65"/>
      <c r="C344" s="65"/>
      <c r="D344" s="65"/>
      <c r="E344" s="66"/>
      <c r="F344" s="65"/>
      <c r="G344" s="67"/>
    </row>
    <row r="345" ht="15.75" customHeight="1">
      <c r="B345" s="65"/>
      <c r="C345" s="65"/>
      <c r="D345" s="65"/>
      <c r="E345" s="66"/>
      <c r="F345" s="65"/>
      <c r="G345" s="67"/>
    </row>
    <row r="346" ht="15.75" customHeight="1">
      <c r="B346" s="65"/>
      <c r="C346" s="65"/>
      <c r="D346" s="65"/>
      <c r="E346" s="66"/>
      <c r="F346" s="65"/>
      <c r="G346" s="67"/>
    </row>
    <row r="347" ht="15.75" customHeight="1">
      <c r="B347" s="65"/>
      <c r="C347" s="65"/>
      <c r="D347" s="65"/>
      <c r="E347" s="66"/>
      <c r="F347" s="65"/>
      <c r="G347" s="67"/>
    </row>
    <row r="348" ht="15.75" customHeight="1">
      <c r="B348" s="65"/>
      <c r="C348" s="65"/>
      <c r="D348" s="65"/>
      <c r="E348" s="66"/>
      <c r="F348" s="65"/>
      <c r="G348" s="67"/>
    </row>
    <row r="349" ht="15.75" customHeight="1">
      <c r="B349" s="65"/>
      <c r="C349" s="65"/>
      <c r="D349" s="65"/>
      <c r="E349" s="66"/>
      <c r="F349" s="65"/>
      <c r="G349" s="67"/>
    </row>
    <row r="350" ht="15.75" customHeight="1">
      <c r="B350" s="65"/>
      <c r="C350" s="65"/>
      <c r="D350" s="65"/>
      <c r="E350" s="66"/>
      <c r="F350" s="65"/>
      <c r="G350" s="67"/>
    </row>
    <row r="351" ht="15.75" customHeight="1">
      <c r="B351" s="65"/>
      <c r="C351" s="65"/>
      <c r="D351" s="65"/>
      <c r="E351" s="66"/>
      <c r="F351" s="65"/>
      <c r="G351" s="67"/>
    </row>
    <row r="352" ht="15.75" customHeight="1">
      <c r="B352" s="65"/>
      <c r="C352" s="65"/>
      <c r="D352" s="65"/>
      <c r="E352" s="66"/>
      <c r="F352" s="65"/>
      <c r="G352" s="67"/>
    </row>
    <row r="353" ht="15.75" customHeight="1">
      <c r="B353" s="65"/>
      <c r="C353" s="65"/>
      <c r="D353" s="65"/>
      <c r="E353" s="66"/>
      <c r="F353" s="65"/>
      <c r="G353" s="67"/>
    </row>
    <row r="354" ht="15.75" customHeight="1">
      <c r="B354" s="65"/>
      <c r="C354" s="65"/>
      <c r="D354" s="65"/>
      <c r="E354" s="66"/>
      <c r="F354" s="65"/>
      <c r="G354" s="67"/>
    </row>
    <row r="355" ht="15.75" customHeight="1">
      <c r="B355" s="65"/>
      <c r="C355" s="65"/>
      <c r="D355" s="65"/>
      <c r="E355" s="66"/>
      <c r="F355" s="65"/>
      <c r="G355" s="67"/>
    </row>
    <row r="356" ht="15.75" customHeight="1">
      <c r="B356" s="65"/>
      <c r="C356" s="65"/>
      <c r="D356" s="65"/>
      <c r="E356" s="66"/>
      <c r="F356" s="65"/>
      <c r="G356" s="67"/>
    </row>
    <row r="357" ht="15.75" customHeight="1">
      <c r="B357" s="65"/>
      <c r="C357" s="65"/>
      <c r="D357" s="65"/>
      <c r="E357" s="66"/>
      <c r="F357" s="65"/>
      <c r="G357" s="67"/>
    </row>
    <row r="358" ht="15.75" customHeight="1">
      <c r="B358" s="65"/>
      <c r="C358" s="65"/>
      <c r="D358" s="65"/>
      <c r="E358" s="66"/>
      <c r="F358" s="65"/>
      <c r="G358" s="67"/>
    </row>
    <row r="359" ht="15.75" customHeight="1">
      <c r="B359" s="65"/>
      <c r="C359" s="65"/>
      <c r="D359" s="65"/>
      <c r="E359" s="66"/>
      <c r="F359" s="65"/>
      <c r="G359" s="67"/>
    </row>
    <row r="360" ht="15.75" customHeight="1">
      <c r="B360" s="65"/>
      <c r="C360" s="65"/>
      <c r="D360" s="65"/>
      <c r="E360" s="66"/>
      <c r="F360" s="65"/>
      <c r="G360" s="67"/>
    </row>
    <row r="361" ht="15.75" customHeight="1">
      <c r="B361" s="65"/>
      <c r="C361" s="65"/>
      <c r="D361" s="65"/>
      <c r="E361" s="66"/>
      <c r="F361" s="65"/>
      <c r="G361" s="67"/>
    </row>
    <row r="362" ht="15.75" customHeight="1">
      <c r="B362" s="65"/>
      <c r="C362" s="65"/>
      <c r="D362" s="65"/>
      <c r="E362" s="66"/>
      <c r="F362" s="65"/>
      <c r="G362" s="67"/>
    </row>
    <row r="363" ht="15.75" customHeight="1">
      <c r="B363" s="65"/>
      <c r="C363" s="65"/>
      <c r="D363" s="65"/>
      <c r="E363" s="66"/>
      <c r="F363" s="65"/>
      <c r="G363" s="67"/>
    </row>
    <row r="364" ht="15.75" customHeight="1">
      <c r="B364" s="65"/>
      <c r="C364" s="65"/>
      <c r="D364" s="65"/>
      <c r="E364" s="66"/>
      <c r="F364" s="65"/>
      <c r="G364" s="67"/>
    </row>
    <row r="365" ht="15.75" customHeight="1">
      <c r="B365" s="65"/>
      <c r="C365" s="65"/>
      <c r="D365" s="65"/>
      <c r="E365" s="66"/>
      <c r="F365" s="65"/>
      <c r="G365" s="67"/>
    </row>
    <row r="366" ht="15.75" customHeight="1">
      <c r="B366" s="65"/>
      <c r="C366" s="65"/>
      <c r="D366" s="65"/>
      <c r="E366" s="66"/>
      <c r="F366" s="65"/>
      <c r="G366" s="67"/>
    </row>
    <row r="367" ht="15.75" customHeight="1">
      <c r="B367" s="65"/>
      <c r="C367" s="65"/>
      <c r="D367" s="65"/>
      <c r="E367" s="66"/>
      <c r="F367" s="65"/>
      <c r="G367" s="67"/>
    </row>
    <row r="368" ht="15.75" customHeight="1">
      <c r="B368" s="65"/>
      <c r="C368" s="65"/>
      <c r="D368" s="65"/>
      <c r="E368" s="66"/>
      <c r="F368" s="65"/>
      <c r="G368" s="67"/>
    </row>
    <row r="369" ht="15.75" customHeight="1">
      <c r="B369" s="65"/>
      <c r="C369" s="65"/>
      <c r="D369" s="65"/>
      <c r="E369" s="66"/>
      <c r="F369" s="65"/>
      <c r="G369" s="67"/>
    </row>
    <row r="370" ht="15.75" customHeight="1">
      <c r="B370" s="65"/>
      <c r="C370" s="65"/>
      <c r="D370" s="65"/>
      <c r="E370" s="66"/>
      <c r="F370" s="65"/>
      <c r="G370" s="67"/>
    </row>
    <row r="371" ht="15.75" customHeight="1">
      <c r="B371" s="65"/>
      <c r="C371" s="65"/>
      <c r="D371" s="65"/>
      <c r="E371" s="66"/>
      <c r="F371" s="65"/>
      <c r="G371" s="67"/>
    </row>
    <row r="372" ht="15.75" customHeight="1">
      <c r="B372" s="65"/>
      <c r="C372" s="65"/>
      <c r="D372" s="65"/>
      <c r="E372" s="66"/>
      <c r="F372" s="65"/>
      <c r="G372" s="67"/>
    </row>
    <row r="373" ht="15.75" customHeight="1">
      <c r="B373" s="65"/>
      <c r="C373" s="65"/>
      <c r="D373" s="65"/>
      <c r="E373" s="66"/>
      <c r="F373" s="65"/>
      <c r="G373" s="67"/>
    </row>
    <row r="374" ht="15.75" customHeight="1">
      <c r="B374" s="65"/>
      <c r="C374" s="65"/>
      <c r="D374" s="65"/>
      <c r="E374" s="66"/>
      <c r="F374" s="65"/>
      <c r="G374" s="67"/>
    </row>
    <row r="375" ht="15.75" customHeight="1">
      <c r="B375" s="65"/>
      <c r="C375" s="65"/>
      <c r="D375" s="65"/>
      <c r="E375" s="66"/>
      <c r="F375" s="65"/>
      <c r="G375" s="67"/>
    </row>
    <row r="376" ht="15.75" customHeight="1">
      <c r="B376" s="65"/>
      <c r="C376" s="65"/>
      <c r="D376" s="65"/>
      <c r="E376" s="66"/>
      <c r="F376" s="65"/>
      <c r="G376" s="67"/>
    </row>
    <row r="377" ht="15.75" customHeight="1">
      <c r="B377" s="65"/>
      <c r="C377" s="65"/>
      <c r="D377" s="65"/>
      <c r="E377" s="66"/>
      <c r="F377" s="65"/>
      <c r="G377" s="67"/>
    </row>
    <row r="378" ht="15.75" customHeight="1">
      <c r="B378" s="65"/>
      <c r="C378" s="65"/>
      <c r="D378" s="65"/>
      <c r="E378" s="66"/>
      <c r="F378" s="65"/>
      <c r="G378" s="67"/>
    </row>
    <row r="379" ht="15.75" customHeight="1">
      <c r="B379" s="65"/>
      <c r="C379" s="65"/>
      <c r="D379" s="65"/>
      <c r="E379" s="66"/>
      <c r="F379" s="65"/>
      <c r="G379" s="67"/>
    </row>
    <row r="380" ht="15.75" customHeight="1">
      <c r="B380" s="65"/>
      <c r="C380" s="65"/>
      <c r="D380" s="65"/>
      <c r="E380" s="66"/>
      <c r="F380" s="65"/>
      <c r="G380" s="67"/>
    </row>
    <row r="381" ht="15.75" customHeight="1">
      <c r="B381" s="65"/>
      <c r="C381" s="65"/>
      <c r="D381" s="65"/>
      <c r="E381" s="66"/>
      <c r="F381" s="65"/>
      <c r="G381" s="67"/>
    </row>
    <row r="382" ht="15.75" customHeight="1">
      <c r="B382" s="65"/>
      <c r="C382" s="65"/>
      <c r="D382" s="65"/>
      <c r="E382" s="66"/>
      <c r="F382" s="65"/>
      <c r="G382" s="67"/>
    </row>
    <row r="383" ht="15.75" customHeight="1">
      <c r="B383" s="65"/>
      <c r="C383" s="65"/>
      <c r="D383" s="65"/>
      <c r="E383" s="66"/>
      <c r="F383" s="65"/>
      <c r="G383" s="67"/>
    </row>
    <row r="384" ht="15.75" customHeight="1">
      <c r="B384" s="65"/>
      <c r="C384" s="65"/>
      <c r="D384" s="65"/>
      <c r="E384" s="66"/>
      <c r="F384" s="65"/>
      <c r="G384" s="67"/>
    </row>
    <row r="385" ht="15.75" customHeight="1">
      <c r="B385" s="65"/>
      <c r="C385" s="65"/>
      <c r="D385" s="65"/>
      <c r="E385" s="66"/>
      <c r="F385" s="65"/>
      <c r="G385" s="67"/>
    </row>
    <row r="386" ht="15.75" customHeight="1">
      <c r="B386" s="65"/>
      <c r="C386" s="65"/>
      <c r="D386" s="65"/>
      <c r="E386" s="66"/>
      <c r="F386" s="65"/>
      <c r="G386" s="67"/>
    </row>
    <row r="387" ht="15.75" customHeight="1">
      <c r="B387" s="65"/>
      <c r="C387" s="65"/>
      <c r="D387" s="65"/>
      <c r="E387" s="66"/>
      <c r="F387" s="65"/>
      <c r="G387" s="67"/>
    </row>
    <row r="388" ht="15.75" customHeight="1">
      <c r="B388" s="65"/>
      <c r="C388" s="65"/>
      <c r="D388" s="65"/>
      <c r="E388" s="66"/>
      <c r="F388" s="65"/>
      <c r="G388" s="67"/>
    </row>
    <row r="389" ht="15.75" customHeight="1">
      <c r="B389" s="65"/>
      <c r="C389" s="65"/>
      <c r="D389" s="65"/>
      <c r="E389" s="66"/>
      <c r="F389" s="65"/>
      <c r="G389" s="67"/>
    </row>
    <row r="390" ht="15.75" customHeight="1">
      <c r="B390" s="65"/>
      <c r="C390" s="65"/>
      <c r="D390" s="65"/>
      <c r="E390" s="66"/>
      <c r="F390" s="65"/>
      <c r="G390" s="67"/>
    </row>
    <row r="391" ht="15.75" customHeight="1">
      <c r="B391" s="65"/>
      <c r="C391" s="65"/>
      <c r="D391" s="65"/>
      <c r="E391" s="66"/>
      <c r="F391" s="65"/>
      <c r="G391" s="67"/>
    </row>
    <row r="392" ht="15.75" customHeight="1">
      <c r="B392" s="65"/>
      <c r="C392" s="65"/>
      <c r="D392" s="65"/>
      <c r="E392" s="66"/>
      <c r="F392" s="65"/>
      <c r="G392" s="67"/>
    </row>
    <row r="393" ht="15.75" customHeight="1">
      <c r="B393" s="65"/>
      <c r="C393" s="65"/>
      <c r="D393" s="65"/>
      <c r="E393" s="66"/>
      <c r="F393" s="65"/>
      <c r="G393" s="67"/>
    </row>
    <row r="394" ht="15.75" customHeight="1">
      <c r="B394" s="65"/>
      <c r="C394" s="65"/>
      <c r="D394" s="65"/>
      <c r="E394" s="66"/>
      <c r="F394" s="65"/>
      <c r="G394" s="67"/>
    </row>
    <row r="395" ht="15.75" customHeight="1">
      <c r="B395" s="65"/>
      <c r="C395" s="65"/>
      <c r="D395" s="65"/>
      <c r="E395" s="66"/>
      <c r="F395" s="65"/>
      <c r="G395" s="67"/>
    </row>
    <row r="396" ht="15.75" customHeight="1">
      <c r="B396" s="65"/>
      <c r="C396" s="65"/>
      <c r="D396" s="65"/>
      <c r="E396" s="66"/>
      <c r="F396" s="65"/>
      <c r="G396" s="67"/>
    </row>
    <row r="397" ht="15.75" customHeight="1">
      <c r="B397" s="65"/>
      <c r="C397" s="65"/>
      <c r="D397" s="65"/>
      <c r="E397" s="66"/>
      <c r="F397" s="65"/>
      <c r="G397" s="67"/>
    </row>
    <row r="398" ht="15.75" customHeight="1">
      <c r="B398" s="65"/>
      <c r="C398" s="65"/>
      <c r="D398" s="65"/>
      <c r="E398" s="66"/>
      <c r="F398" s="65"/>
      <c r="G398" s="67"/>
    </row>
    <row r="399" ht="15.75" customHeight="1">
      <c r="B399" s="65"/>
      <c r="C399" s="65"/>
      <c r="D399" s="65"/>
      <c r="E399" s="66"/>
      <c r="F399" s="65"/>
      <c r="G399" s="67"/>
    </row>
    <row r="400" ht="15.75" customHeight="1">
      <c r="B400" s="65"/>
      <c r="C400" s="65"/>
      <c r="D400" s="65"/>
      <c r="E400" s="66"/>
      <c r="F400" s="65"/>
      <c r="G400" s="67"/>
    </row>
    <row r="401" ht="15.75" customHeight="1">
      <c r="B401" s="65"/>
      <c r="C401" s="65"/>
      <c r="D401" s="65"/>
      <c r="E401" s="66"/>
      <c r="F401" s="65"/>
      <c r="G401" s="67"/>
    </row>
    <row r="402" ht="15.75" customHeight="1">
      <c r="B402" s="65"/>
      <c r="C402" s="65"/>
      <c r="D402" s="65"/>
      <c r="E402" s="66"/>
      <c r="F402" s="65"/>
      <c r="G402" s="67"/>
    </row>
    <row r="403" ht="15.75" customHeight="1">
      <c r="B403" s="65"/>
      <c r="C403" s="65"/>
      <c r="D403" s="65"/>
      <c r="E403" s="66"/>
      <c r="F403" s="65"/>
      <c r="G403" s="67"/>
    </row>
    <row r="404" ht="15.75" customHeight="1">
      <c r="B404" s="65"/>
      <c r="C404" s="65"/>
      <c r="D404" s="65"/>
      <c r="E404" s="66"/>
      <c r="F404" s="65"/>
      <c r="G404" s="67"/>
    </row>
    <row r="405" ht="15.75" customHeight="1">
      <c r="B405" s="65"/>
      <c r="C405" s="65"/>
      <c r="D405" s="65"/>
      <c r="E405" s="66"/>
      <c r="F405" s="65"/>
      <c r="G405" s="67"/>
    </row>
    <row r="406" ht="15.75" customHeight="1">
      <c r="B406" s="65"/>
      <c r="C406" s="65"/>
      <c r="D406" s="65"/>
      <c r="E406" s="66"/>
      <c r="F406" s="65"/>
      <c r="G406" s="67"/>
    </row>
    <row r="407" ht="15.75" customHeight="1">
      <c r="B407" s="65"/>
      <c r="C407" s="65"/>
      <c r="D407" s="65"/>
      <c r="E407" s="66"/>
      <c r="F407" s="65"/>
      <c r="G407" s="67"/>
    </row>
    <row r="408" ht="15.75" customHeight="1">
      <c r="B408" s="65"/>
      <c r="C408" s="65"/>
      <c r="D408" s="65"/>
      <c r="E408" s="66"/>
      <c r="F408" s="65"/>
      <c r="G408" s="67"/>
    </row>
    <row r="409" ht="15.75" customHeight="1">
      <c r="B409" s="65"/>
      <c r="C409" s="65"/>
      <c r="D409" s="65"/>
      <c r="E409" s="66"/>
      <c r="F409" s="65"/>
      <c r="G409" s="67"/>
    </row>
    <row r="410" ht="15.75" customHeight="1">
      <c r="B410" s="65"/>
      <c r="C410" s="65"/>
      <c r="D410" s="65"/>
      <c r="E410" s="66"/>
      <c r="F410" s="65"/>
      <c r="G410" s="67"/>
    </row>
    <row r="411" ht="15.75" customHeight="1">
      <c r="B411" s="65"/>
      <c r="C411" s="65"/>
      <c r="D411" s="65"/>
      <c r="E411" s="66"/>
      <c r="F411" s="65"/>
      <c r="G411" s="67"/>
    </row>
    <row r="412" ht="15.75" customHeight="1">
      <c r="B412" s="65"/>
      <c r="C412" s="65"/>
      <c r="D412" s="65"/>
      <c r="E412" s="66"/>
      <c r="F412" s="65"/>
      <c r="G412" s="67"/>
    </row>
    <row r="413" ht="15.75" customHeight="1">
      <c r="B413" s="65"/>
      <c r="C413" s="65"/>
      <c r="D413" s="65"/>
      <c r="E413" s="66"/>
      <c r="F413" s="65"/>
      <c r="G413" s="67"/>
    </row>
    <row r="414" ht="15.75" customHeight="1">
      <c r="B414" s="65"/>
      <c r="C414" s="65"/>
      <c r="D414" s="65"/>
      <c r="E414" s="66"/>
      <c r="F414" s="65"/>
      <c r="G414" s="67"/>
    </row>
    <row r="415" ht="15.75" customHeight="1">
      <c r="B415" s="65"/>
      <c r="C415" s="65"/>
      <c r="D415" s="65"/>
      <c r="E415" s="66"/>
      <c r="F415" s="65"/>
      <c r="G415" s="67"/>
    </row>
    <row r="416" ht="15.75" customHeight="1">
      <c r="B416" s="65"/>
      <c r="C416" s="65"/>
      <c r="D416" s="65"/>
      <c r="E416" s="66"/>
      <c r="F416" s="65"/>
      <c r="G416" s="67"/>
    </row>
    <row r="417" ht="15.75" customHeight="1">
      <c r="B417" s="65"/>
      <c r="C417" s="65"/>
      <c r="D417" s="65"/>
      <c r="E417" s="66"/>
      <c r="F417" s="65"/>
      <c r="G417" s="67"/>
    </row>
    <row r="418" ht="15.75" customHeight="1">
      <c r="B418" s="65"/>
      <c r="C418" s="65"/>
      <c r="D418" s="65"/>
      <c r="E418" s="66"/>
      <c r="F418" s="65"/>
      <c r="G418" s="67"/>
    </row>
    <row r="419" ht="15.75" customHeight="1">
      <c r="B419" s="65"/>
      <c r="C419" s="65"/>
      <c r="D419" s="65"/>
      <c r="E419" s="66"/>
      <c r="F419" s="65"/>
      <c r="G419" s="67"/>
    </row>
    <row r="420" ht="15.75" customHeight="1">
      <c r="B420" s="65"/>
      <c r="C420" s="65"/>
      <c r="D420" s="65"/>
      <c r="E420" s="66"/>
      <c r="F420" s="65"/>
      <c r="G420" s="67"/>
    </row>
    <row r="421" ht="15.75" customHeight="1">
      <c r="B421" s="65"/>
      <c r="C421" s="65"/>
      <c r="D421" s="65"/>
      <c r="E421" s="66"/>
      <c r="F421" s="65"/>
      <c r="G421" s="67"/>
    </row>
    <row r="422" ht="15.75" customHeight="1">
      <c r="B422" s="65"/>
      <c r="C422" s="65"/>
      <c r="D422" s="65"/>
      <c r="E422" s="66"/>
      <c r="F422" s="65"/>
      <c r="G422" s="67"/>
    </row>
    <row r="423" ht="15.75" customHeight="1">
      <c r="B423" s="65"/>
      <c r="C423" s="65"/>
      <c r="D423" s="65"/>
      <c r="E423" s="66"/>
      <c r="F423" s="65"/>
      <c r="G423" s="67"/>
    </row>
    <row r="424" ht="15.75" customHeight="1">
      <c r="B424" s="65"/>
      <c r="C424" s="65"/>
      <c r="D424" s="65"/>
      <c r="E424" s="66"/>
      <c r="F424" s="65"/>
      <c r="G424" s="67"/>
    </row>
    <row r="425" ht="15.75" customHeight="1">
      <c r="B425" s="65"/>
      <c r="C425" s="65"/>
      <c r="D425" s="65"/>
      <c r="E425" s="66"/>
      <c r="F425" s="65"/>
      <c r="G425" s="67"/>
    </row>
    <row r="426" ht="15.75" customHeight="1">
      <c r="B426" s="65"/>
      <c r="C426" s="65"/>
      <c r="D426" s="65"/>
      <c r="E426" s="66"/>
      <c r="F426" s="65"/>
      <c r="G426" s="67"/>
    </row>
    <row r="427" ht="15.75" customHeight="1">
      <c r="B427" s="65"/>
      <c r="C427" s="65"/>
      <c r="D427" s="65"/>
      <c r="E427" s="66"/>
      <c r="F427" s="65"/>
      <c r="G427" s="67"/>
    </row>
    <row r="428" ht="15.75" customHeight="1">
      <c r="B428" s="65"/>
      <c r="C428" s="65"/>
      <c r="D428" s="65"/>
      <c r="E428" s="66"/>
      <c r="F428" s="65"/>
      <c r="G428" s="67"/>
    </row>
    <row r="429" ht="15.75" customHeight="1">
      <c r="B429" s="65"/>
      <c r="C429" s="65"/>
      <c r="D429" s="65"/>
      <c r="E429" s="66"/>
      <c r="F429" s="65"/>
      <c r="G429" s="67"/>
    </row>
    <row r="430" ht="15.75" customHeight="1">
      <c r="B430" s="65"/>
      <c r="C430" s="65"/>
      <c r="D430" s="65"/>
      <c r="E430" s="66"/>
      <c r="F430" s="65"/>
      <c r="G430" s="67"/>
    </row>
    <row r="431" ht="15.75" customHeight="1">
      <c r="B431" s="65"/>
      <c r="C431" s="65"/>
      <c r="D431" s="65"/>
      <c r="E431" s="66"/>
      <c r="F431" s="65"/>
      <c r="G431" s="67"/>
    </row>
    <row r="432" ht="15.75" customHeight="1">
      <c r="B432" s="65"/>
      <c r="C432" s="65"/>
      <c r="D432" s="65"/>
      <c r="E432" s="66"/>
      <c r="F432" s="65"/>
      <c r="G432" s="67"/>
    </row>
    <row r="433" ht="15.75" customHeight="1">
      <c r="B433" s="65"/>
      <c r="C433" s="65"/>
      <c r="D433" s="65"/>
      <c r="E433" s="66"/>
      <c r="F433" s="65"/>
      <c r="G433" s="67"/>
    </row>
    <row r="434" ht="15.75" customHeight="1">
      <c r="B434" s="65"/>
      <c r="C434" s="65"/>
      <c r="D434" s="65"/>
      <c r="E434" s="66"/>
      <c r="F434" s="65"/>
      <c r="G434" s="67"/>
    </row>
    <row r="435" ht="15.75" customHeight="1">
      <c r="B435" s="65"/>
      <c r="C435" s="65"/>
      <c r="D435" s="65"/>
      <c r="E435" s="66"/>
      <c r="F435" s="65"/>
      <c r="G435" s="67"/>
    </row>
    <row r="436" ht="15.75" customHeight="1">
      <c r="B436" s="65"/>
      <c r="C436" s="65"/>
      <c r="D436" s="65"/>
      <c r="E436" s="66"/>
      <c r="F436" s="65"/>
      <c r="G436" s="67"/>
    </row>
    <row r="437" ht="15.75" customHeight="1">
      <c r="B437" s="65"/>
      <c r="C437" s="65"/>
      <c r="D437" s="65"/>
      <c r="E437" s="66"/>
      <c r="F437" s="65"/>
      <c r="G437" s="67"/>
    </row>
    <row r="438" ht="15.75" customHeight="1">
      <c r="B438" s="65"/>
      <c r="C438" s="65"/>
      <c r="D438" s="65"/>
      <c r="E438" s="66"/>
      <c r="F438" s="65"/>
      <c r="G438" s="67"/>
    </row>
    <row r="439" ht="15.75" customHeight="1">
      <c r="B439" s="65"/>
      <c r="C439" s="65"/>
      <c r="D439" s="65"/>
      <c r="E439" s="66"/>
      <c r="F439" s="65"/>
      <c r="G439" s="67"/>
    </row>
    <row r="440" ht="15.75" customHeight="1">
      <c r="B440" s="65"/>
      <c r="C440" s="65"/>
      <c r="D440" s="65"/>
      <c r="E440" s="66"/>
      <c r="F440" s="65"/>
      <c r="G440" s="67"/>
    </row>
    <row r="441" ht="15.75" customHeight="1">
      <c r="B441" s="65"/>
      <c r="C441" s="65"/>
      <c r="D441" s="65"/>
      <c r="E441" s="66"/>
      <c r="F441" s="65"/>
      <c r="G441" s="67"/>
    </row>
    <row r="442" ht="15.75" customHeight="1">
      <c r="B442" s="65"/>
      <c r="C442" s="65"/>
      <c r="D442" s="65"/>
      <c r="E442" s="66"/>
      <c r="F442" s="65"/>
      <c r="G442" s="67"/>
    </row>
    <row r="443" ht="15.75" customHeight="1">
      <c r="B443" s="65"/>
      <c r="C443" s="65"/>
      <c r="D443" s="65"/>
      <c r="E443" s="66"/>
      <c r="F443" s="65"/>
      <c r="G443" s="67"/>
    </row>
    <row r="444" ht="15.75" customHeight="1">
      <c r="B444" s="65"/>
      <c r="C444" s="65"/>
      <c r="D444" s="65"/>
      <c r="E444" s="66"/>
      <c r="F444" s="65"/>
      <c r="G444" s="67"/>
    </row>
    <row r="445" ht="15.75" customHeight="1">
      <c r="B445" s="65"/>
      <c r="C445" s="65"/>
      <c r="D445" s="65"/>
      <c r="E445" s="66"/>
      <c r="F445" s="65"/>
      <c r="G445" s="67"/>
    </row>
    <row r="446" ht="15.75" customHeight="1">
      <c r="B446" s="65"/>
      <c r="C446" s="65"/>
      <c r="D446" s="65"/>
      <c r="E446" s="66"/>
      <c r="F446" s="65"/>
      <c r="G446" s="67"/>
    </row>
    <row r="447" ht="15.75" customHeight="1">
      <c r="B447" s="65"/>
      <c r="C447" s="65"/>
      <c r="D447" s="65"/>
      <c r="E447" s="66"/>
      <c r="F447" s="65"/>
      <c r="G447" s="67"/>
    </row>
    <row r="448" ht="15.75" customHeight="1">
      <c r="B448" s="65"/>
      <c r="C448" s="65"/>
      <c r="D448" s="65"/>
      <c r="E448" s="66"/>
      <c r="F448" s="65"/>
      <c r="G448" s="67"/>
    </row>
    <row r="449" ht="15.75" customHeight="1">
      <c r="B449" s="65"/>
      <c r="C449" s="65"/>
      <c r="D449" s="65"/>
      <c r="E449" s="66"/>
      <c r="F449" s="65"/>
      <c r="G449" s="67"/>
    </row>
    <row r="450" ht="15.75" customHeight="1">
      <c r="B450" s="65"/>
      <c r="C450" s="65"/>
      <c r="D450" s="65"/>
      <c r="E450" s="66"/>
      <c r="F450" s="65"/>
      <c r="G450" s="67"/>
    </row>
    <row r="451" ht="15.75" customHeight="1">
      <c r="B451" s="65"/>
      <c r="C451" s="65"/>
      <c r="D451" s="65"/>
      <c r="E451" s="66"/>
      <c r="F451" s="65"/>
      <c r="G451" s="67"/>
    </row>
    <row r="452" ht="15.75" customHeight="1">
      <c r="B452" s="65"/>
      <c r="C452" s="65"/>
      <c r="D452" s="65"/>
      <c r="E452" s="66"/>
      <c r="F452" s="65"/>
      <c r="G452" s="67"/>
    </row>
    <row r="453" ht="15.75" customHeight="1">
      <c r="B453" s="65"/>
      <c r="C453" s="65"/>
      <c r="D453" s="65"/>
      <c r="E453" s="66"/>
      <c r="F453" s="65"/>
      <c r="G453" s="67"/>
    </row>
    <row r="454" ht="15.75" customHeight="1">
      <c r="B454" s="65"/>
      <c r="C454" s="65"/>
      <c r="D454" s="65"/>
      <c r="E454" s="66"/>
      <c r="F454" s="65"/>
      <c r="G454" s="67"/>
    </row>
    <row r="455" ht="15.75" customHeight="1">
      <c r="B455" s="65"/>
      <c r="C455" s="65"/>
      <c r="D455" s="65"/>
      <c r="E455" s="66"/>
      <c r="F455" s="65"/>
      <c r="G455" s="67"/>
    </row>
    <row r="456" ht="15.75" customHeight="1">
      <c r="B456" s="65"/>
      <c r="C456" s="65"/>
      <c r="D456" s="65"/>
      <c r="E456" s="66"/>
      <c r="F456" s="65"/>
      <c r="G456" s="67"/>
    </row>
    <row r="457" ht="15.75" customHeight="1">
      <c r="B457" s="65"/>
      <c r="C457" s="65"/>
      <c r="D457" s="65"/>
      <c r="E457" s="66"/>
      <c r="F457" s="65"/>
      <c r="G457" s="67"/>
    </row>
    <row r="458" ht="15.75" customHeight="1">
      <c r="B458" s="65"/>
      <c r="C458" s="65"/>
      <c r="D458" s="65"/>
      <c r="E458" s="66"/>
      <c r="F458" s="65"/>
      <c r="G458" s="67"/>
    </row>
    <row r="459" ht="15.75" customHeight="1">
      <c r="B459" s="65"/>
      <c r="C459" s="65"/>
      <c r="D459" s="65"/>
      <c r="E459" s="66"/>
      <c r="F459" s="65"/>
      <c r="G459" s="67"/>
    </row>
    <row r="460" ht="15.75" customHeight="1">
      <c r="B460" s="65"/>
      <c r="C460" s="65"/>
      <c r="D460" s="65"/>
      <c r="E460" s="66"/>
      <c r="F460" s="65"/>
      <c r="G460" s="67"/>
    </row>
    <row r="461" ht="15.75" customHeight="1">
      <c r="B461" s="65"/>
      <c r="C461" s="65"/>
      <c r="D461" s="65"/>
      <c r="E461" s="66"/>
      <c r="F461" s="65"/>
      <c r="G461" s="67"/>
    </row>
    <row r="462" ht="15.75" customHeight="1">
      <c r="B462" s="65"/>
      <c r="C462" s="65"/>
      <c r="D462" s="65"/>
      <c r="E462" s="66"/>
      <c r="F462" s="65"/>
      <c r="G462" s="67"/>
    </row>
    <row r="463" ht="15.75" customHeight="1">
      <c r="B463" s="65"/>
      <c r="C463" s="65"/>
      <c r="D463" s="65"/>
      <c r="E463" s="66"/>
      <c r="F463" s="65"/>
      <c r="G463" s="67"/>
    </row>
    <row r="464" ht="15.75" customHeight="1">
      <c r="B464" s="65"/>
      <c r="C464" s="65"/>
      <c r="D464" s="65"/>
      <c r="E464" s="66"/>
      <c r="F464" s="65"/>
      <c r="G464" s="67"/>
    </row>
    <row r="465" ht="15.75" customHeight="1">
      <c r="B465" s="65"/>
      <c r="C465" s="65"/>
      <c r="D465" s="65"/>
      <c r="E465" s="66"/>
      <c r="F465" s="65"/>
      <c r="G465" s="67"/>
    </row>
    <row r="466" ht="15.75" customHeight="1">
      <c r="B466" s="65"/>
      <c r="C466" s="65"/>
      <c r="D466" s="65"/>
      <c r="E466" s="66"/>
      <c r="F466" s="65"/>
      <c r="G466" s="67"/>
    </row>
    <row r="467" ht="15.75" customHeight="1">
      <c r="B467" s="65"/>
      <c r="C467" s="65"/>
      <c r="D467" s="65"/>
      <c r="E467" s="66"/>
      <c r="F467" s="65"/>
      <c r="G467" s="67"/>
    </row>
    <row r="468" ht="15.75" customHeight="1">
      <c r="B468" s="65"/>
      <c r="C468" s="65"/>
      <c r="D468" s="65"/>
      <c r="E468" s="66"/>
      <c r="F468" s="65"/>
      <c r="G468" s="67"/>
    </row>
    <row r="469" ht="15.75" customHeight="1">
      <c r="B469" s="65"/>
      <c r="C469" s="65"/>
      <c r="D469" s="65"/>
      <c r="E469" s="66"/>
      <c r="F469" s="65"/>
      <c r="G469" s="67"/>
    </row>
    <row r="470" ht="15.75" customHeight="1">
      <c r="B470" s="65"/>
      <c r="C470" s="65"/>
      <c r="D470" s="65"/>
      <c r="E470" s="66"/>
      <c r="F470" s="65"/>
      <c r="G470" s="67"/>
    </row>
    <row r="471" ht="15.75" customHeight="1">
      <c r="B471" s="65"/>
      <c r="C471" s="65"/>
      <c r="D471" s="65"/>
      <c r="E471" s="66"/>
      <c r="F471" s="65"/>
      <c r="G471" s="67"/>
    </row>
    <row r="472" ht="15.75" customHeight="1">
      <c r="B472" s="65"/>
      <c r="C472" s="65"/>
      <c r="D472" s="65"/>
      <c r="E472" s="66"/>
      <c r="F472" s="65"/>
      <c r="G472" s="67"/>
    </row>
    <row r="473" ht="15.75" customHeight="1">
      <c r="B473" s="65"/>
      <c r="C473" s="65"/>
      <c r="D473" s="65"/>
      <c r="E473" s="66"/>
      <c r="F473" s="65"/>
      <c r="G473" s="67"/>
    </row>
    <row r="474" ht="15.75" customHeight="1">
      <c r="B474" s="65"/>
      <c r="C474" s="65"/>
      <c r="D474" s="65"/>
      <c r="E474" s="66"/>
      <c r="F474" s="65"/>
      <c r="G474" s="67"/>
    </row>
    <row r="475" ht="15.75" customHeight="1">
      <c r="B475" s="65"/>
      <c r="C475" s="65"/>
      <c r="D475" s="65"/>
      <c r="E475" s="66"/>
      <c r="F475" s="65"/>
      <c r="G475" s="67"/>
    </row>
    <row r="476" ht="15.75" customHeight="1">
      <c r="B476" s="65"/>
      <c r="C476" s="65"/>
      <c r="D476" s="65"/>
      <c r="E476" s="66"/>
      <c r="F476" s="65"/>
      <c r="G476" s="67"/>
    </row>
    <row r="477" ht="15.75" customHeight="1">
      <c r="B477" s="65"/>
      <c r="C477" s="65"/>
      <c r="D477" s="65"/>
      <c r="E477" s="66"/>
      <c r="F477" s="65"/>
      <c r="G477" s="67"/>
    </row>
    <row r="478" ht="15.75" customHeight="1">
      <c r="B478" s="65"/>
      <c r="C478" s="65"/>
      <c r="D478" s="65"/>
      <c r="E478" s="66"/>
      <c r="F478" s="65"/>
      <c r="G478" s="67"/>
    </row>
    <row r="479" ht="15.75" customHeight="1">
      <c r="B479" s="65"/>
      <c r="C479" s="65"/>
      <c r="D479" s="65"/>
      <c r="E479" s="66"/>
      <c r="F479" s="65"/>
      <c r="G479" s="67"/>
    </row>
    <row r="480" ht="15.75" customHeight="1">
      <c r="B480" s="65"/>
      <c r="C480" s="65"/>
      <c r="D480" s="65"/>
      <c r="E480" s="66"/>
      <c r="F480" s="65"/>
      <c r="G480" s="67"/>
    </row>
    <row r="481" ht="15.75" customHeight="1">
      <c r="B481" s="65"/>
      <c r="C481" s="65"/>
      <c r="D481" s="65"/>
      <c r="E481" s="66"/>
      <c r="F481" s="65"/>
      <c r="G481" s="67"/>
    </row>
    <row r="482" ht="15.75" customHeight="1">
      <c r="B482" s="65"/>
      <c r="C482" s="65"/>
      <c r="D482" s="65"/>
      <c r="E482" s="66"/>
      <c r="F482" s="65"/>
      <c r="G482" s="67"/>
    </row>
    <row r="483" ht="15.75" customHeight="1">
      <c r="B483" s="65"/>
      <c r="C483" s="65"/>
      <c r="D483" s="65"/>
      <c r="E483" s="66"/>
      <c r="F483" s="65"/>
      <c r="G483" s="67"/>
    </row>
    <row r="484" ht="15.75" customHeight="1">
      <c r="B484" s="65"/>
      <c r="C484" s="65"/>
      <c r="D484" s="65"/>
      <c r="E484" s="66"/>
      <c r="F484" s="65"/>
      <c r="G484" s="67"/>
    </row>
    <row r="485" ht="15.75" customHeight="1">
      <c r="B485" s="65"/>
      <c r="C485" s="65"/>
      <c r="D485" s="65"/>
      <c r="E485" s="66"/>
      <c r="F485" s="65"/>
      <c r="G485" s="67"/>
    </row>
    <row r="486" ht="15.75" customHeight="1">
      <c r="B486" s="65"/>
      <c r="C486" s="65"/>
      <c r="D486" s="65"/>
      <c r="E486" s="66"/>
      <c r="F486" s="65"/>
      <c r="G486" s="67"/>
    </row>
    <row r="487" ht="15.75" customHeight="1">
      <c r="B487" s="65"/>
      <c r="C487" s="65"/>
      <c r="D487" s="65"/>
      <c r="E487" s="66"/>
      <c r="F487" s="65"/>
      <c r="G487" s="67"/>
    </row>
    <row r="488" ht="15.75" customHeight="1">
      <c r="B488" s="65"/>
      <c r="C488" s="65"/>
      <c r="D488" s="65"/>
      <c r="E488" s="66"/>
      <c r="F488" s="65"/>
      <c r="G488" s="67"/>
    </row>
    <row r="489" ht="15.75" customHeight="1">
      <c r="B489" s="65"/>
      <c r="C489" s="65"/>
      <c r="D489" s="65"/>
      <c r="E489" s="66"/>
      <c r="F489" s="65"/>
      <c r="G489" s="67"/>
    </row>
    <row r="490" ht="15.75" customHeight="1">
      <c r="B490" s="65"/>
      <c r="C490" s="65"/>
      <c r="D490" s="65"/>
      <c r="E490" s="66"/>
      <c r="F490" s="65"/>
      <c r="G490" s="67"/>
    </row>
    <row r="491" ht="15.75" customHeight="1">
      <c r="B491" s="65"/>
      <c r="C491" s="65"/>
      <c r="D491" s="65"/>
      <c r="E491" s="66"/>
      <c r="F491" s="65"/>
      <c r="G491" s="67"/>
    </row>
    <row r="492" ht="15.75" customHeight="1">
      <c r="B492" s="65"/>
      <c r="C492" s="65"/>
      <c r="D492" s="65"/>
      <c r="E492" s="66"/>
      <c r="F492" s="65"/>
      <c r="G492" s="67"/>
    </row>
    <row r="493" ht="15.75" customHeight="1">
      <c r="B493" s="65"/>
      <c r="C493" s="65"/>
      <c r="D493" s="65"/>
      <c r="E493" s="66"/>
      <c r="F493" s="65"/>
      <c r="G493" s="67"/>
    </row>
    <row r="494" ht="15.75" customHeight="1">
      <c r="B494" s="65"/>
      <c r="C494" s="65"/>
      <c r="D494" s="65"/>
      <c r="E494" s="66"/>
      <c r="F494" s="65"/>
      <c r="G494" s="67"/>
    </row>
    <row r="495" ht="15.75" customHeight="1">
      <c r="B495" s="65"/>
      <c r="C495" s="65"/>
      <c r="D495" s="65"/>
      <c r="E495" s="66"/>
      <c r="F495" s="65"/>
      <c r="G495" s="67"/>
    </row>
    <row r="496" ht="15.75" customHeight="1">
      <c r="B496" s="65"/>
      <c r="C496" s="65"/>
      <c r="D496" s="65"/>
      <c r="E496" s="66"/>
      <c r="F496" s="65"/>
      <c r="G496" s="67"/>
    </row>
    <row r="497" ht="15.75" customHeight="1">
      <c r="B497" s="65"/>
      <c r="C497" s="65"/>
      <c r="D497" s="65"/>
      <c r="E497" s="66"/>
      <c r="F497" s="65"/>
      <c r="G497" s="67"/>
    </row>
    <row r="498" ht="15.75" customHeight="1">
      <c r="B498" s="65"/>
      <c r="C498" s="65"/>
      <c r="D498" s="65"/>
      <c r="E498" s="66"/>
      <c r="F498" s="65"/>
      <c r="G498" s="67"/>
    </row>
    <row r="499" ht="15.75" customHeight="1">
      <c r="B499" s="65"/>
      <c r="C499" s="65"/>
      <c r="D499" s="65"/>
      <c r="E499" s="66"/>
      <c r="F499" s="65"/>
      <c r="G499" s="67"/>
    </row>
    <row r="500" ht="15.75" customHeight="1">
      <c r="B500" s="65"/>
      <c r="C500" s="65"/>
      <c r="D500" s="65"/>
      <c r="E500" s="66"/>
      <c r="F500" s="65"/>
      <c r="G500" s="67"/>
    </row>
    <row r="501" ht="15.75" customHeight="1">
      <c r="B501" s="65"/>
      <c r="C501" s="65"/>
      <c r="D501" s="65"/>
      <c r="E501" s="66"/>
      <c r="F501" s="65"/>
      <c r="G501" s="67"/>
    </row>
    <row r="502" ht="15.75" customHeight="1">
      <c r="B502" s="65"/>
      <c r="C502" s="65"/>
      <c r="D502" s="65"/>
      <c r="E502" s="66"/>
      <c r="F502" s="65"/>
      <c r="G502" s="67"/>
    </row>
    <row r="503" ht="15.75" customHeight="1">
      <c r="B503" s="65"/>
      <c r="C503" s="65"/>
      <c r="D503" s="65"/>
      <c r="E503" s="66"/>
      <c r="F503" s="65"/>
      <c r="G503" s="67"/>
    </row>
    <row r="504" ht="15.75" customHeight="1">
      <c r="B504" s="65"/>
      <c r="C504" s="65"/>
      <c r="D504" s="65"/>
      <c r="E504" s="66"/>
      <c r="F504" s="65"/>
      <c r="G504" s="67"/>
    </row>
    <row r="505" ht="15.75" customHeight="1">
      <c r="B505" s="65"/>
      <c r="C505" s="65"/>
      <c r="D505" s="65"/>
      <c r="E505" s="66"/>
      <c r="F505" s="65"/>
      <c r="G505" s="67"/>
    </row>
    <row r="506" ht="15.75" customHeight="1">
      <c r="B506" s="65"/>
      <c r="C506" s="65"/>
      <c r="D506" s="65"/>
      <c r="E506" s="66"/>
      <c r="F506" s="65"/>
      <c r="G506" s="67"/>
    </row>
    <row r="507" ht="15.75" customHeight="1">
      <c r="B507" s="65"/>
      <c r="C507" s="65"/>
      <c r="D507" s="65"/>
      <c r="E507" s="66"/>
      <c r="F507" s="65"/>
      <c r="G507" s="67"/>
    </row>
    <row r="508" ht="15.75" customHeight="1">
      <c r="B508" s="65"/>
      <c r="C508" s="65"/>
      <c r="D508" s="65"/>
      <c r="E508" s="66"/>
      <c r="F508" s="65"/>
      <c r="G508" s="67"/>
    </row>
    <row r="509" ht="15.75" customHeight="1">
      <c r="B509" s="65"/>
      <c r="C509" s="65"/>
      <c r="D509" s="65"/>
      <c r="E509" s="66"/>
      <c r="F509" s="65"/>
      <c r="G509" s="67"/>
    </row>
    <row r="510" ht="15.75" customHeight="1">
      <c r="B510" s="65"/>
      <c r="C510" s="65"/>
      <c r="D510" s="65"/>
      <c r="E510" s="66"/>
      <c r="F510" s="65"/>
      <c r="G510" s="67"/>
    </row>
    <row r="511" ht="15.75" customHeight="1">
      <c r="B511" s="65"/>
      <c r="C511" s="65"/>
      <c r="D511" s="65"/>
      <c r="E511" s="66"/>
      <c r="F511" s="65"/>
      <c r="G511" s="67"/>
    </row>
    <row r="512" ht="15.75" customHeight="1">
      <c r="B512" s="65"/>
      <c r="C512" s="65"/>
      <c r="D512" s="65"/>
      <c r="E512" s="66"/>
      <c r="F512" s="65"/>
      <c r="G512" s="67"/>
    </row>
    <row r="513" ht="15.75" customHeight="1">
      <c r="B513" s="65"/>
      <c r="C513" s="65"/>
      <c r="D513" s="65"/>
      <c r="E513" s="66"/>
      <c r="F513" s="65"/>
      <c r="G513" s="67"/>
    </row>
    <row r="514" ht="15.75" customHeight="1">
      <c r="B514" s="65"/>
      <c r="C514" s="65"/>
      <c r="D514" s="65"/>
      <c r="E514" s="66"/>
      <c r="F514" s="65"/>
      <c r="G514" s="67"/>
    </row>
    <row r="515" ht="15.75" customHeight="1">
      <c r="B515" s="65"/>
      <c r="C515" s="65"/>
      <c r="D515" s="65"/>
      <c r="E515" s="66"/>
      <c r="F515" s="65"/>
      <c r="G515" s="67"/>
    </row>
    <row r="516" ht="15.75" customHeight="1">
      <c r="B516" s="65"/>
      <c r="C516" s="65"/>
      <c r="D516" s="65"/>
      <c r="E516" s="66"/>
      <c r="F516" s="65"/>
      <c r="G516" s="67"/>
    </row>
    <row r="517" ht="15.75" customHeight="1">
      <c r="B517" s="65"/>
      <c r="C517" s="65"/>
      <c r="D517" s="65"/>
      <c r="E517" s="66"/>
      <c r="F517" s="65"/>
      <c r="G517" s="67"/>
    </row>
    <row r="518" ht="15.75" customHeight="1">
      <c r="B518" s="65"/>
      <c r="C518" s="65"/>
      <c r="D518" s="65"/>
      <c r="E518" s="66"/>
      <c r="F518" s="65"/>
      <c r="G518" s="67"/>
    </row>
    <row r="519" ht="15.75" customHeight="1">
      <c r="B519" s="65"/>
      <c r="C519" s="65"/>
      <c r="D519" s="65"/>
      <c r="E519" s="66"/>
      <c r="F519" s="65"/>
      <c r="G519" s="67"/>
    </row>
    <row r="520" ht="15.75" customHeight="1">
      <c r="B520" s="65"/>
      <c r="C520" s="65"/>
      <c r="D520" s="65"/>
      <c r="E520" s="66"/>
      <c r="F520" s="65"/>
      <c r="G520" s="67"/>
    </row>
    <row r="521" ht="15.75" customHeight="1">
      <c r="B521" s="65"/>
      <c r="C521" s="65"/>
      <c r="D521" s="65"/>
      <c r="E521" s="66"/>
      <c r="F521" s="65"/>
      <c r="G521" s="67"/>
    </row>
    <row r="522" ht="15.75" customHeight="1">
      <c r="B522" s="65"/>
      <c r="C522" s="65"/>
      <c r="D522" s="65"/>
      <c r="E522" s="66"/>
      <c r="F522" s="65"/>
      <c r="G522" s="67"/>
    </row>
    <row r="523" ht="15.75" customHeight="1">
      <c r="B523" s="65"/>
      <c r="C523" s="65"/>
      <c r="D523" s="65"/>
      <c r="E523" s="66"/>
      <c r="F523" s="65"/>
      <c r="G523" s="67"/>
    </row>
    <row r="524" ht="15.75" customHeight="1">
      <c r="B524" s="65"/>
      <c r="C524" s="65"/>
      <c r="D524" s="65"/>
      <c r="E524" s="66"/>
      <c r="F524" s="65"/>
      <c r="G524" s="67"/>
    </row>
    <row r="525" ht="15.75" customHeight="1">
      <c r="B525" s="65"/>
      <c r="C525" s="65"/>
      <c r="D525" s="65"/>
      <c r="E525" s="66"/>
      <c r="F525" s="65"/>
      <c r="G525" s="67"/>
    </row>
    <row r="526" ht="15.75" customHeight="1">
      <c r="B526" s="65"/>
      <c r="C526" s="65"/>
      <c r="D526" s="65"/>
      <c r="E526" s="66"/>
      <c r="F526" s="65"/>
      <c r="G526" s="67"/>
    </row>
    <row r="527" ht="15.75" customHeight="1">
      <c r="B527" s="65"/>
      <c r="C527" s="65"/>
      <c r="D527" s="65"/>
      <c r="E527" s="66"/>
      <c r="F527" s="65"/>
      <c r="G527" s="67"/>
    </row>
    <row r="528" ht="15.75" customHeight="1">
      <c r="B528" s="65"/>
      <c r="C528" s="65"/>
      <c r="D528" s="65"/>
      <c r="E528" s="66"/>
      <c r="F528" s="65"/>
      <c r="G528" s="67"/>
    </row>
    <row r="529" ht="15.75" customHeight="1">
      <c r="B529" s="65"/>
      <c r="C529" s="65"/>
      <c r="D529" s="65"/>
      <c r="E529" s="66"/>
      <c r="F529" s="65"/>
      <c r="G529" s="67"/>
    </row>
    <row r="530" ht="15.75" customHeight="1">
      <c r="B530" s="65"/>
      <c r="C530" s="65"/>
      <c r="D530" s="65"/>
      <c r="E530" s="66"/>
      <c r="F530" s="65"/>
      <c r="G530" s="67"/>
    </row>
    <row r="531" ht="15.75" customHeight="1">
      <c r="B531" s="65"/>
      <c r="C531" s="65"/>
      <c r="D531" s="65"/>
      <c r="E531" s="66"/>
      <c r="F531" s="65"/>
      <c r="G531" s="67"/>
    </row>
    <row r="532" ht="15.75" customHeight="1">
      <c r="B532" s="65"/>
      <c r="C532" s="65"/>
      <c r="D532" s="65"/>
      <c r="E532" s="66"/>
      <c r="F532" s="65"/>
      <c r="G532" s="67"/>
    </row>
    <row r="533" ht="15.75" customHeight="1">
      <c r="B533" s="65"/>
      <c r="C533" s="65"/>
      <c r="D533" s="65"/>
      <c r="E533" s="66"/>
      <c r="F533" s="65"/>
      <c r="G533" s="67"/>
    </row>
    <row r="534" ht="15.75" customHeight="1">
      <c r="B534" s="65"/>
      <c r="C534" s="65"/>
      <c r="D534" s="65"/>
      <c r="E534" s="66"/>
      <c r="F534" s="65"/>
      <c r="G534" s="67"/>
    </row>
    <row r="535" ht="15.75" customHeight="1">
      <c r="B535" s="65"/>
      <c r="C535" s="65"/>
      <c r="D535" s="65"/>
      <c r="E535" s="66"/>
      <c r="F535" s="65"/>
      <c r="G535" s="67"/>
    </row>
    <row r="536" ht="15.75" customHeight="1">
      <c r="B536" s="65"/>
      <c r="C536" s="65"/>
      <c r="D536" s="65"/>
      <c r="E536" s="66"/>
      <c r="F536" s="65"/>
      <c r="G536" s="67"/>
    </row>
    <row r="537" ht="15.75" customHeight="1">
      <c r="B537" s="65"/>
      <c r="C537" s="65"/>
      <c r="D537" s="65"/>
      <c r="E537" s="66"/>
      <c r="F537" s="65"/>
      <c r="G537" s="67"/>
    </row>
    <row r="538" ht="15.75" customHeight="1">
      <c r="B538" s="65"/>
      <c r="C538" s="65"/>
      <c r="D538" s="65"/>
      <c r="E538" s="66"/>
      <c r="F538" s="65"/>
      <c r="G538" s="67"/>
    </row>
    <row r="539" ht="15.75" customHeight="1">
      <c r="B539" s="65"/>
      <c r="C539" s="65"/>
      <c r="D539" s="65"/>
      <c r="E539" s="66"/>
      <c r="F539" s="65"/>
      <c r="G539" s="67"/>
    </row>
    <row r="540" ht="15.75" customHeight="1">
      <c r="B540" s="65"/>
      <c r="C540" s="65"/>
      <c r="D540" s="65"/>
      <c r="E540" s="66"/>
      <c r="F540" s="65"/>
      <c r="G540" s="67"/>
    </row>
    <row r="541" ht="15.75" customHeight="1">
      <c r="B541" s="65"/>
      <c r="C541" s="65"/>
      <c r="D541" s="65"/>
      <c r="E541" s="66"/>
      <c r="F541" s="65"/>
      <c r="G541" s="67"/>
    </row>
    <row r="542" ht="15.75" customHeight="1">
      <c r="B542" s="65"/>
      <c r="C542" s="65"/>
      <c r="D542" s="65"/>
      <c r="E542" s="66"/>
      <c r="F542" s="65"/>
      <c r="G542" s="67"/>
    </row>
    <row r="543" ht="15.75" customHeight="1">
      <c r="B543" s="65"/>
      <c r="C543" s="65"/>
      <c r="D543" s="65"/>
      <c r="E543" s="66"/>
      <c r="F543" s="65"/>
      <c r="G543" s="67"/>
    </row>
    <row r="544" ht="15.75" customHeight="1">
      <c r="B544" s="65"/>
      <c r="C544" s="65"/>
      <c r="D544" s="65"/>
      <c r="E544" s="66"/>
      <c r="F544" s="65"/>
      <c r="G544" s="67"/>
    </row>
    <row r="545" ht="15.75" customHeight="1">
      <c r="B545" s="65"/>
      <c r="C545" s="65"/>
      <c r="D545" s="65"/>
      <c r="E545" s="66"/>
      <c r="F545" s="65"/>
      <c r="G545" s="67"/>
    </row>
    <row r="546" ht="15.75" customHeight="1">
      <c r="B546" s="65"/>
      <c r="C546" s="65"/>
      <c r="D546" s="65"/>
      <c r="E546" s="66"/>
      <c r="F546" s="65"/>
      <c r="G546" s="67"/>
    </row>
    <row r="547" ht="15.75" customHeight="1">
      <c r="B547" s="65"/>
      <c r="C547" s="65"/>
      <c r="D547" s="65"/>
      <c r="E547" s="66"/>
      <c r="F547" s="65"/>
      <c r="G547" s="67"/>
    </row>
    <row r="548" ht="15.75" customHeight="1">
      <c r="B548" s="65"/>
      <c r="C548" s="65"/>
      <c r="D548" s="65"/>
      <c r="E548" s="66"/>
      <c r="F548" s="65"/>
      <c r="G548" s="67"/>
    </row>
    <row r="549" ht="15.75" customHeight="1">
      <c r="B549" s="65"/>
      <c r="C549" s="65"/>
      <c r="D549" s="65"/>
      <c r="E549" s="66"/>
      <c r="F549" s="65"/>
      <c r="G549" s="67"/>
    </row>
    <row r="550" ht="15.75" customHeight="1">
      <c r="B550" s="65"/>
      <c r="C550" s="65"/>
      <c r="D550" s="65"/>
      <c r="E550" s="66"/>
      <c r="F550" s="65"/>
      <c r="G550" s="67"/>
    </row>
    <row r="551" ht="15.75" customHeight="1">
      <c r="B551" s="65"/>
      <c r="C551" s="65"/>
      <c r="D551" s="65"/>
      <c r="E551" s="66"/>
      <c r="F551" s="65"/>
      <c r="G551" s="67"/>
    </row>
    <row r="552" ht="15.75" customHeight="1">
      <c r="B552" s="65"/>
      <c r="C552" s="65"/>
      <c r="D552" s="65"/>
      <c r="E552" s="66"/>
      <c r="F552" s="65"/>
      <c r="G552" s="67"/>
    </row>
    <row r="553" ht="15.75" customHeight="1">
      <c r="B553" s="65"/>
      <c r="C553" s="65"/>
      <c r="D553" s="65"/>
      <c r="E553" s="66"/>
      <c r="F553" s="65"/>
      <c r="G553" s="67"/>
    </row>
    <row r="554" ht="15.75" customHeight="1">
      <c r="B554" s="65"/>
      <c r="C554" s="65"/>
      <c r="D554" s="65"/>
      <c r="E554" s="66"/>
      <c r="F554" s="65"/>
      <c r="G554" s="67"/>
    </row>
    <row r="555" ht="15.75" customHeight="1">
      <c r="B555" s="65"/>
      <c r="C555" s="65"/>
      <c r="D555" s="65"/>
      <c r="E555" s="66"/>
      <c r="F555" s="65"/>
      <c r="G555" s="67"/>
    </row>
    <row r="556" ht="15.75" customHeight="1">
      <c r="B556" s="65"/>
      <c r="C556" s="65"/>
      <c r="D556" s="65"/>
      <c r="E556" s="66"/>
      <c r="F556" s="65"/>
      <c r="G556" s="67"/>
    </row>
    <row r="557" ht="15.75" customHeight="1">
      <c r="B557" s="65"/>
      <c r="C557" s="65"/>
      <c r="D557" s="65"/>
      <c r="E557" s="66"/>
      <c r="F557" s="65"/>
      <c r="G557" s="67"/>
    </row>
    <row r="558" ht="15.75" customHeight="1">
      <c r="B558" s="65"/>
      <c r="C558" s="65"/>
      <c r="D558" s="65"/>
      <c r="E558" s="66"/>
      <c r="F558" s="65"/>
      <c r="G558" s="67"/>
    </row>
    <row r="559" ht="15.75" customHeight="1">
      <c r="B559" s="65"/>
      <c r="C559" s="65"/>
      <c r="D559" s="65"/>
      <c r="E559" s="66"/>
      <c r="F559" s="65"/>
      <c r="G559" s="67"/>
    </row>
    <row r="560" ht="15.75" customHeight="1">
      <c r="B560" s="65"/>
      <c r="C560" s="65"/>
      <c r="D560" s="65"/>
      <c r="E560" s="66"/>
      <c r="F560" s="65"/>
      <c r="G560" s="67"/>
    </row>
    <row r="561" ht="15.75" customHeight="1">
      <c r="B561" s="65"/>
      <c r="C561" s="65"/>
      <c r="D561" s="65"/>
      <c r="E561" s="66"/>
      <c r="F561" s="65"/>
      <c r="G561" s="67"/>
    </row>
    <row r="562" ht="15.75" customHeight="1">
      <c r="B562" s="65"/>
      <c r="C562" s="65"/>
      <c r="D562" s="65"/>
      <c r="E562" s="66"/>
      <c r="F562" s="65"/>
      <c r="G562" s="67"/>
    </row>
    <row r="563" ht="15.75" customHeight="1">
      <c r="B563" s="65"/>
      <c r="C563" s="65"/>
      <c r="D563" s="65"/>
      <c r="E563" s="66"/>
      <c r="F563" s="65"/>
      <c r="G563" s="67"/>
    </row>
    <row r="564" ht="15.75" customHeight="1">
      <c r="B564" s="65"/>
      <c r="C564" s="65"/>
      <c r="D564" s="65"/>
      <c r="E564" s="66"/>
      <c r="F564" s="65"/>
      <c r="G564" s="67"/>
    </row>
    <row r="565" ht="15.75" customHeight="1">
      <c r="B565" s="65"/>
      <c r="C565" s="65"/>
      <c r="D565" s="65"/>
      <c r="E565" s="66"/>
      <c r="F565" s="65"/>
      <c r="G565" s="67"/>
    </row>
    <row r="566" ht="15.75" customHeight="1">
      <c r="B566" s="65"/>
      <c r="C566" s="65"/>
      <c r="D566" s="65"/>
      <c r="E566" s="66"/>
      <c r="F566" s="65"/>
      <c r="G566" s="67"/>
    </row>
    <row r="567" ht="15.75" customHeight="1">
      <c r="B567" s="65"/>
      <c r="C567" s="65"/>
      <c r="D567" s="65"/>
      <c r="E567" s="66"/>
      <c r="F567" s="65"/>
      <c r="G567" s="67"/>
    </row>
    <row r="568" ht="15.75" customHeight="1">
      <c r="B568" s="65"/>
      <c r="C568" s="65"/>
      <c r="D568" s="65"/>
      <c r="E568" s="66"/>
      <c r="F568" s="65"/>
      <c r="G568" s="67"/>
    </row>
    <row r="569" ht="15.75" customHeight="1">
      <c r="B569" s="65"/>
      <c r="C569" s="65"/>
      <c r="D569" s="65"/>
      <c r="E569" s="66"/>
      <c r="F569" s="65"/>
      <c r="G569" s="67"/>
    </row>
    <row r="570" ht="15.75" customHeight="1">
      <c r="B570" s="65"/>
      <c r="C570" s="65"/>
      <c r="D570" s="65"/>
      <c r="E570" s="66"/>
      <c r="F570" s="65"/>
      <c r="G570" s="67"/>
    </row>
    <row r="571" ht="15.75" customHeight="1">
      <c r="B571" s="65"/>
      <c r="C571" s="65"/>
      <c r="D571" s="65"/>
      <c r="E571" s="66"/>
      <c r="F571" s="65"/>
      <c r="G571" s="67"/>
    </row>
    <row r="572" ht="15.75" customHeight="1">
      <c r="B572" s="65"/>
      <c r="C572" s="65"/>
      <c r="D572" s="65"/>
      <c r="E572" s="66"/>
      <c r="F572" s="65"/>
      <c r="G572" s="67"/>
    </row>
    <row r="573" ht="15.75" customHeight="1">
      <c r="B573" s="65"/>
      <c r="C573" s="65"/>
      <c r="D573" s="65"/>
      <c r="E573" s="66"/>
      <c r="F573" s="65"/>
      <c r="G573" s="67"/>
    </row>
    <row r="574" ht="15.75" customHeight="1">
      <c r="B574" s="65"/>
      <c r="C574" s="65"/>
      <c r="D574" s="65"/>
      <c r="E574" s="66"/>
      <c r="F574" s="65"/>
      <c r="G574" s="67"/>
    </row>
    <row r="575" ht="15.75" customHeight="1">
      <c r="B575" s="65"/>
      <c r="C575" s="65"/>
      <c r="D575" s="65"/>
      <c r="E575" s="66"/>
      <c r="F575" s="65"/>
      <c r="G575" s="67"/>
    </row>
    <row r="576" ht="15.75" customHeight="1">
      <c r="B576" s="65"/>
      <c r="C576" s="65"/>
      <c r="D576" s="65"/>
      <c r="E576" s="66"/>
      <c r="F576" s="65"/>
      <c r="G576" s="67"/>
    </row>
    <row r="577" ht="15.75" customHeight="1">
      <c r="B577" s="65"/>
      <c r="C577" s="65"/>
      <c r="D577" s="65"/>
      <c r="E577" s="66"/>
      <c r="F577" s="65"/>
      <c r="G577" s="67"/>
    </row>
    <row r="578" ht="15.75" customHeight="1">
      <c r="B578" s="65"/>
      <c r="C578" s="65"/>
      <c r="D578" s="65"/>
      <c r="E578" s="66"/>
      <c r="F578" s="65"/>
      <c r="G578" s="67"/>
    </row>
    <row r="579" ht="15.75" customHeight="1">
      <c r="B579" s="65"/>
      <c r="C579" s="65"/>
      <c r="D579" s="65"/>
      <c r="E579" s="66"/>
      <c r="F579" s="65"/>
      <c r="G579" s="67"/>
    </row>
    <row r="580" ht="15.75" customHeight="1">
      <c r="B580" s="65"/>
      <c r="C580" s="65"/>
      <c r="D580" s="65"/>
      <c r="E580" s="66"/>
      <c r="F580" s="65"/>
      <c r="G580" s="67"/>
    </row>
    <row r="581" ht="15.75" customHeight="1">
      <c r="B581" s="65"/>
      <c r="C581" s="65"/>
      <c r="D581" s="65"/>
      <c r="E581" s="66"/>
      <c r="F581" s="65"/>
      <c r="G581" s="67"/>
    </row>
    <row r="582" ht="15.75" customHeight="1">
      <c r="B582" s="65"/>
      <c r="C582" s="65"/>
      <c r="D582" s="65"/>
      <c r="E582" s="66"/>
      <c r="F582" s="65"/>
      <c r="G582" s="67"/>
    </row>
    <row r="583" ht="15.75" customHeight="1">
      <c r="B583" s="65"/>
      <c r="C583" s="65"/>
      <c r="D583" s="65"/>
      <c r="E583" s="66"/>
      <c r="F583" s="65"/>
      <c r="G583" s="67"/>
    </row>
    <row r="584" ht="15.75" customHeight="1">
      <c r="B584" s="65"/>
      <c r="C584" s="65"/>
      <c r="D584" s="65"/>
      <c r="E584" s="66"/>
      <c r="F584" s="65"/>
      <c r="G584" s="67"/>
    </row>
    <row r="585" ht="15.75" customHeight="1">
      <c r="B585" s="65"/>
      <c r="C585" s="65"/>
      <c r="D585" s="65"/>
      <c r="E585" s="66"/>
      <c r="F585" s="65"/>
      <c r="G585" s="67"/>
    </row>
    <row r="586" ht="15.75" customHeight="1">
      <c r="B586" s="65"/>
      <c r="C586" s="65"/>
      <c r="D586" s="65"/>
      <c r="E586" s="66"/>
      <c r="F586" s="65"/>
      <c r="G586" s="67"/>
    </row>
    <row r="587" ht="15.75" customHeight="1">
      <c r="B587" s="65"/>
      <c r="C587" s="65"/>
      <c r="D587" s="65"/>
      <c r="E587" s="66"/>
      <c r="F587" s="65"/>
      <c r="G587" s="67"/>
    </row>
    <row r="588" ht="15.75" customHeight="1">
      <c r="B588" s="65"/>
      <c r="C588" s="65"/>
      <c r="D588" s="65"/>
      <c r="E588" s="66"/>
      <c r="F588" s="65"/>
      <c r="G588" s="67"/>
    </row>
    <row r="589" ht="15.75" customHeight="1">
      <c r="B589" s="65"/>
      <c r="C589" s="65"/>
      <c r="D589" s="65"/>
      <c r="E589" s="66"/>
      <c r="F589" s="65"/>
      <c r="G589" s="67"/>
    </row>
    <row r="590" ht="15.75" customHeight="1">
      <c r="B590" s="65"/>
      <c r="C590" s="65"/>
      <c r="D590" s="65"/>
      <c r="E590" s="66"/>
      <c r="F590" s="65"/>
      <c r="G590" s="67"/>
    </row>
    <row r="591" ht="15.75" customHeight="1">
      <c r="B591" s="65"/>
      <c r="C591" s="65"/>
      <c r="D591" s="65"/>
      <c r="E591" s="66"/>
      <c r="F591" s="65"/>
      <c r="G591" s="67"/>
    </row>
    <row r="592" ht="15.75" customHeight="1">
      <c r="B592" s="65"/>
      <c r="C592" s="65"/>
      <c r="D592" s="65"/>
      <c r="E592" s="66"/>
      <c r="F592" s="65"/>
      <c r="G592" s="67"/>
    </row>
    <row r="593" ht="15.75" customHeight="1">
      <c r="B593" s="65"/>
      <c r="C593" s="65"/>
      <c r="D593" s="65"/>
      <c r="E593" s="66"/>
      <c r="F593" s="65"/>
      <c r="G593" s="67"/>
    </row>
    <row r="594" ht="15.75" customHeight="1">
      <c r="B594" s="65"/>
      <c r="C594" s="65"/>
      <c r="D594" s="65"/>
      <c r="E594" s="66"/>
      <c r="F594" s="65"/>
      <c r="G594" s="67"/>
    </row>
    <row r="595" ht="15.75" customHeight="1">
      <c r="B595" s="65"/>
      <c r="C595" s="65"/>
      <c r="D595" s="65"/>
      <c r="E595" s="66"/>
      <c r="F595" s="65"/>
      <c r="G595" s="67"/>
    </row>
    <row r="596" ht="15.75" customHeight="1">
      <c r="B596" s="65"/>
      <c r="C596" s="65"/>
      <c r="D596" s="65"/>
      <c r="E596" s="66"/>
      <c r="F596" s="65"/>
      <c r="G596" s="67"/>
    </row>
    <row r="597" ht="15.75" customHeight="1">
      <c r="B597" s="65"/>
      <c r="C597" s="65"/>
      <c r="D597" s="65"/>
      <c r="E597" s="66"/>
      <c r="F597" s="65"/>
      <c r="G597" s="67"/>
    </row>
    <row r="598" ht="15.75" customHeight="1">
      <c r="B598" s="65"/>
      <c r="C598" s="65"/>
      <c r="D598" s="65"/>
      <c r="E598" s="66"/>
      <c r="F598" s="65"/>
      <c r="G598" s="67"/>
    </row>
    <row r="599" ht="15.75" customHeight="1">
      <c r="B599" s="65"/>
      <c r="C599" s="65"/>
      <c r="D599" s="65"/>
      <c r="E599" s="66"/>
      <c r="F599" s="65"/>
      <c r="G599" s="67"/>
    </row>
    <row r="600" ht="15.75" customHeight="1">
      <c r="B600" s="65"/>
      <c r="C600" s="65"/>
      <c r="D600" s="65"/>
      <c r="E600" s="66"/>
      <c r="F600" s="65"/>
      <c r="G600" s="67"/>
    </row>
    <row r="601" ht="15.75" customHeight="1">
      <c r="B601" s="65"/>
      <c r="C601" s="65"/>
      <c r="D601" s="65"/>
      <c r="E601" s="66"/>
      <c r="F601" s="65"/>
      <c r="G601" s="67"/>
    </row>
    <row r="602" ht="15.75" customHeight="1">
      <c r="B602" s="65"/>
      <c r="C602" s="65"/>
      <c r="D602" s="65"/>
      <c r="E602" s="66"/>
      <c r="F602" s="65"/>
      <c r="G602" s="67"/>
    </row>
    <row r="603" ht="15.75" customHeight="1">
      <c r="B603" s="65"/>
      <c r="C603" s="65"/>
      <c r="D603" s="65"/>
      <c r="E603" s="66"/>
      <c r="F603" s="65"/>
      <c r="G603" s="67"/>
    </row>
    <row r="604" ht="15.75" customHeight="1">
      <c r="B604" s="65"/>
      <c r="C604" s="65"/>
      <c r="D604" s="65"/>
      <c r="E604" s="66"/>
      <c r="F604" s="65"/>
      <c r="G604" s="67"/>
    </row>
    <row r="605" ht="15.75" customHeight="1">
      <c r="B605" s="65"/>
      <c r="C605" s="65"/>
      <c r="D605" s="65"/>
      <c r="E605" s="66"/>
      <c r="F605" s="65"/>
      <c r="G605" s="67"/>
    </row>
    <row r="606" ht="15.75" customHeight="1">
      <c r="B606" s="65"/>
      <c r="C606" s="65"/>
      <c r="D606" s="65"/>
      <c r="E606" s="66"/>
      <c r="F606" s="65"/>
      <c r="G606" s="67"/>
    </row>
    <row r="607" ht="15.75" customHeight="1">
      <c r="B607" s="65"/>
      <c r="C607" s="65"/>
      <c r="D607" s="65"/>
      <c r="E607" s="66"/>
      <c r="F607" s="65"/>
      <c r="G607" s="67"/>
    </row>
    <row r="608" ht="15.75" customHeight="1">
      <c r="B608" s="65"/>
      <c r="C608" s="65"/>
      <c r="D608" s="65"/>
      <c r="E608" s="66"/>
      <c r="F608" s="65"/>
      <c r="G608" s="67"/>
    </row>
    <row r="609" ht="15.75" customHeight="1">
      <c r="B609" s="65"/>
      <c r="C609" s="65"/>
      <c r="D609" s="65"/>
      <c r="E609" s="66"/>
      <c r="F609" s="65"/>
      <c r="G609" s="67"/>
    </row>
    <row r="610" ht="15.75" customHeight="1">
      <c r="B610" s="65"/>
      <c r="C610" s="65"/>
      <c r="D610" s="65"/>
      <c r="E610" s="66"/>
      <c r="F610" s="65"/>
      <c r="G610" s="67"/>
    </row>
    <row r="611" ht="15.75" customHeight="1">
      <c r="B611" s="65"/>
      <c r="C611" s="65"/>
      <c r="D611" s="65"/>
      <c r="E611" s="66"/>
      <c r="F611" s="65"/>
      <c r="G611" s="67"/>
    </row>
    <row r="612" ht="15.75" customHeight="1">
      <c r="B612" s="65"/>
      <c r="C612" s="65"/>
      <c r="D612" s="65"/>
      <c r="E612" s="66"/>
      <c r="F612" s="65"/>
      <c r="G612" s="67"/>
    </row>
    <row r="613" ht="15.75" customHeight="1">
      <c r="B613" s="65"/>
      <c r="C613" s="65"/>
      <c r="D613" s="65"/>
      <c r="E613" s="66"/>
      <c r="F613" s="65"/>
      <c r="G613" s="67"/>
    </row>
    <row r="614" ht="15.75" customHeight="1">
      <c r="B614" s="65"/>
      <c r="C614" s="65"/>
      <c r="D614" s="65"/>
      <c r="E614" s="66"/>
      <c r="F614" s="65"/>
      <c r="G614" s="67"/>
    </row>
    <row r="615" ht="15.75" customHeight="1">
      <c r="B615" s="65"/>
      <c r="C615" s="65"/>
      <c r="D615" s="65"/>
      <c r="E615" s="66"/>
      <c r="F615" s="65"/>
      <c r="G615" s="67"/>
    </row>
    <row r="616" ht="15.75" customHeight="1">
      <c r="B616" s="65"/>
      <c r="C616" s="65"/>
      <c r="D616" s="65"/>
      <c r="E616" s="66"/>
      <c r="F616" s="65"/>
      <c r="G616" s="67"/>
    </row>
    <row r="617" ht="15.75" customHeight="1">
      <c r="B617" s="65"/>
      <c r="C617" s="65"/>
      <c r="D617" s="65"/>
      <c r="E617" s="66"/>
      <c r="F617" s="65"/>
      <c r="G617" s="67"/>
    </row>
    <row r="618" ht="15.75" customHeight="1">
      <c r="B618" s="65"/>
      <c r="C618" s="65"/>
      <c r="D618" s="65"/>
      <c r="E618" s="66"/>
      <c r="F618" s="65"/>
      <c r="G618" s="67"/>
    </row>
    <row r="619" ht="15.75" customHeight="1">
      <c r="B619" s="65"/>
      <c r="C619" s="65"/>
      <c r="D619" s="65"/>
      <c r="E619" s="66"/>
      <c r="F619" s="65"/>
      <c r="G619" s="67"/>
    </row>
    <row r="620" ht="15.75" customHeight="1">
      <c r="B620" s="65"/>
      <c r="C620" s="65"/>
      <c r="D620" s="65"/>
      <c r="E620" s="66"/>
      <c r="F620" s="65"/>
      <c r="G620" s="67"/>
    </row>
    <row r="621" ht="15.75" customHeight="1">
      <c r="B621" s="65"/>
      <c r="C621" s="65"/>
      <c r="D621" s="65"/>
      <c r="E621" s="66"/>
      <c r="F621" s="65"/>
      <c r="G621" s="67"/>
    </row>
    <row r="622" ht="15.75" customHeight="1">
      <c r="B622" s="65"/>
      <c r="C622" s="65"/>
      <c r="D622" s="65"/>
      <c r="E622" s="66"/>
      <c r="F622" s="65"/>
      <c r="G622" s="67"/>
    </row>
    <row r="623" ht="15.75" customHeight="1">
      <c r="B623" s="65"/>
      <c r="C623" s="65"/>
      <c r="D623" s="65"/>
      <c r="E623" s="66"/>
      <c r="F623" s="65"/>
      <c r="G623" s="67"/>
    </row>
    <row r="624" ht="15.75" customHeight="1">
      <c r="B624" s="65"/>
      <c r="C624" s="65"/>
      <c r="D624" s="65"/>
      <c r="E624" s="66"/>
      <c r="F624" s="65"/>
      <c r="G624" s="67"/>
    </row>
    <row r="625" ht="15.75" customHeight="1">
      <c r="B625" s="65"/>
      <c r="C625" s="65"/>
      <c r="D625" s="65"/>
      <c r="E625" s="66"/>
      <c r="F625" s="65"/>
      <c r="G625" s="67"/>
    </row>
    <row r="626" ht="15.75" customHeight="1">
      <c r="B626" s="65"/>
      <c r="C626" s="65"/>
      <c r="D626" s="65"/>
      <c r="E626" s="66"/>
      <c r="F626" s="65"/>
      <c r="G626" s="67"/>
    </row>
    <row r="627" ht="15.75" customHeight="1">
      <c r="B627" s="65"/>
      <c r="C627" s="65"/>
      <c r="D627" s="65"/>
      <c r="E627" s="66"/>
      <c r="F627" s="65"/>
      <c r="G627" s="67"/>
    </row>
    <row r="628" ht="15.75" customHeight="1">
      <c r="B628" s="65"/>
      <c r="C628" s="65"/>
      <c r="D628" s="65"/>
      <c r="E628" s="66"/>
      <c r="F628" s="65"/>
      <c r="G628" s="67"/>
    </row>
    <row r="629" ht="15.75" customHeight="1">
      <c r="B629" s="65"/>
      <c r="C629" s="65"/>
      <c r="D629" s="65"/>
      <c r="E629" s="66"/>
      <c r="F629" s="65"/>
      <c r="G629" s="67"/>
    </row>
    <row r="630" ht="15.75" customHeight="1">
      <c r="B630" s="65"/>
      <c r="C630" s="65"/>
      <c r="D630" s="65"/>
      <c r="E630" s="66"/>
      <c r="F630" s="65"/>
      <c r="G630" s="67"/>
    </row>
    <row r="631" ht="15.75" customHeight="1">
      <c r="B631" s="65"/>
      <c r="C631" s="65"/>
      <c r="D631" s="65"/>
      <c r="E631" s="66"/>
      <c r="F631" s="65"/>
      <c r="G631" s="67"/>
    </row>
    <row r="632" ht="15.75" customHeight="1">
      <c r="B632" s="65"/>
      <c r="C632" s="65"/>
      <c r="D632" s="65"/>
      <c r="E632" s="66"/>
      <c r="F632" s="65"/>
      <c r="G632" s="67"/>
    </row>
    <row r="633" ht="15.75" customHeight="1">
      <c r="B633" s="65"/>
      <c r="C633" s="65"/>
      <c r="D633" s="65"/>
      <c r="E633" s="66"/>
      <c r="F633" s="65"/>
      <c r="G633" s="67"/>
    </row>
    <row r="634" ht="15.75" customHeight="1">
      <c r="B634" s="65"/>
      <c r="C634" s="65"/>
      <c r="D634" s="65"/>
      <c r="E634" s="66"/>
      <c r="F634" s="65"/>
      <c r="G634" s="67"/>
    </row>
    <row r="635" ht="15.75" customHeight="1">
      <c r="B635" s="65"/>
      <c r="C635" s="65"/>
      <c r="D635" s="65"/>
      <c r="E635" s="66"/>
      <c r="F635" s="65"/>
      <c r="G635" s="67"/>
    </row>
    <row r="636" ht="15.75" customHeight="1">
      <c r="B636" s="65"/>
      <c r="C636" s="65"/>
      <c r="D636" s="65"/>
      <c r="E636" s="66"/>
      <c r="F636" s="65"/>
      <c r="G636" s="67"/>
    </row>
    <row r="637" ht="15.75" customHeight="1">
      <c r="B637" s="65"/>
      <c r="C637" s="65"/>
      <c r="D637" s="65"/>
      <c r="E637" s="66"/>
      <c r="F637" s="65"/>
      <c r="G637" s="67"/>
    </row>
    <row r="638" ht="15.75" customHeight="1">
      <c r="B638" s="65"/>
      <c r="C638" s="65"/>
      <c r="D638" s="65"/>
      <c r="E638" s="66"/>
      <c r="F638" s="65"/>
      <c r="G638" s="67"/>
    </row>
    <row r="639" ht="15.75" customHeight="1">
      <c r="B639" s="65"/>
      <c r="C639" s="65"/>
      <c r="D639" s="65"/>
      <c r="E639" s="66"/>
      <c r="F639" s="65"/>
      <c r="G639" s="67"/>
    </row>
    <row r="640" ht="15.75" customHeight="1">
      <c r="B640" s="65"/>
      <c r="C640" s="65"/>
      <c r="D640" s="65"/>
      <c r="E640" s="66"/>
      <c r="F640" s="65"/>
      <c r="G640" s="67"/>
    </row>
    <row r="641" ht="15.75" customHeight="1">
      <c r="B641" s="65"/>
      <c r="C641" s="65"/>
      <c r="D641" s="65"/>
      <c r="E641" s="66"/>
      <c r="F641" s="65"/>
      <c r="G641" s="67"/>
    </row>
    <row r="642" ht="15.75" customHeight="1">
      <c r="B642" s="65"/>
      <c r="C642" s="65"/>
      <c r="D642" s="65"/>
      <c r="E642" s="66"/>
      <c r="F642" s="65"/>
      <c r="G642" s="67"/>
    </row>
    <row r="643" ht="15.75" customHeight="1">
      <c r="B643" s="65"/>
      <c r="C643" s="65"/>
      <c r="D643" s="65"/>
      <c r="E643" s="66"/>
      <c r="F643" s="65"/>
      <c r="G643" s="67"/>
    </row>
    <row r="644" ht="15.75" customHeight="1">
      <c r="B644" s="65"/>
      <c r="C644" s="65"/>
      <c r="D644" s="65"/>
      <c r="E644" s="66"/>
      <c r="F644" s="65"/>
      <c r="G644" s="67"/>
    </row>
    <row r="645" ht="15.75" customHeight="1">
      <c r="B645" s="65"/>
      <c r="C645" s="65"/>
      <c r="D645" s="65"/>
      <c r="E645" s="66"/>
      <c r="F645" s="65"/>
      <c r="G645" s="67"/>
    </row>
    <row r="646" ht="15.75" customHeight="1">
      <c r="B646" s="65"/>
      <c r="C646" s="65"/>
      <c r="D646" s="65"/>
      <c r="E646" s="66"/>
      <c r="F646" s="65"/>
      <c r="G646" s="67"/>
    </row>
    <row r="647" ht="15.75" customHeight="1">
      <c r="B647" s="65"/>
      <c r="C647" s="65"/>
      <c r="D647" s="65"/>
      <c r="E647" s="66"/>
      <c r="F647" s="65"/>
      <c r="G647" s="67"/>
    </row>
    <row r="648" ht="15.75" customHeight="1">
      <c r="B648" s="65"/>
      <c r="C648" s="65"/>
      <c r="D648" s="65"/>
      <c r="E648" s="66"/>
      <c r="F648" s="65"/>
      <c r="G648" s="67"/>
    </row>
    <row r="649" ht="15.75" customHeight="1">
      <c r="B649" s="65"/>
      <c r="C649" s="65"/>
      <c r="D649" s="65"/>
      <c r="E649" s="66"/>
      <c r="F649" s="65"/>
      <c r="G649" s="67"/>
    </row>
    <row r="650" ht="15.75" customHeight="1">
      <c r="B650" s="65"/>
      <c r="C650" s="65"/>
      <c r="D650" s="65"/>
      <c r="E650" s="66"/>
      <c r="F650" s="65"/>
      <c r="G650" s="67"/>
    </row>
    <row r="651" ht="15.75" customHeight="1">
      <c r="B651" s="65"/>
      <c r="C651" s="65"/>
      <c r="D651" s="65"/>
      <c r="E651" s="66"/>
      <c r="F651" s="65"/>
      <c r="G651" s="67"/>
    </row>
    <row r="652" ht="15.75" customHeight="1">
      <c r="B652" s="65"/>
      <c r="C652" s="65"/>
      <c r="D652" s="65"/>
      <c r="E652" s="66"/>
      <c r="F652" s="65"/>
      <c r="G652" s="67"/>
    </row>
    <row r="653" ht="15.75" customHeight="1">
      <c r="B653" s="65"/>
      <c r="C653" s="65"/>
      <c r="D653" s="65"/>
      <c r="E653" s="66"/>
      <c r="F653" s="65"/>
      <c r="G653" s="67"/>
    </row>
    <row r="654" ht="15.75" customHeight="1">
      <c r="B654" s="65"/>
      <c r="C654" s="65"/>
      <c r="D654" s="65"/>
      <c r="E654" s="66"/>
      <c r="F654" s="65"/>
      <c r="G654" s="67"/>
    </row>
    <row r="655" ht="15.75" customHeight="1">
      <c r="B655" s="65"/>
      <c r="C655" s="65"/>
      <c r="D655" s="65"/>
      <c r="E655" s="66"/>
      <c r="F655" s="65"/>
      <c r="G655" s="67"/>
    </row>
    <row r="656" ht="15.75" customHeight="1">
      <c r="B656" s="65"/>
      <c r="C656" s="65"/>
      <c r="D656" s="65"/>
      <c r="E656" s="66"/>
      <c r="F656" s="65"/>
      <c r="G656" s="67"/>
    </row>
    <row r="657" ht="15.75" customHeight="1">
      <c r="B657" s="65"/>
      <c r="C657" s="65"/>
      <c r="D657" s="65"/>
      <c r="E657" s="66"/>
      <c r="F657" s="65"/>
      <c r="G657" s="67"/>
    </row>
    <row r="658" ht="15.75" customHeight="1">
      <c r="B658" s="65"/>
      <c r="C658" s="65"/>
      <c r="D658" s="65"/>
      <c r="E658" s="66"/>
      <c r="F658" s="65"/>
      <c r="G658" s="67"/>
    </row>
    <row r="659" ht="15.75" customHeight="1">
      <c r="B659" s="65"/>
      <c r="C659" s="65"/>
      <c r="D659" s="65"/>
      <c r="E659" s="66"/>
      <c r="F659" s="65"/>
      <c r="G659" s="67"/>
    </row>
    <row r="660" ht="15.75" customHeight="1">
      <c r="B660" s="65"/>
      <c r="C660" s="65"/>
      <c r="D660" s="65"/>
      <c r="E660" s="66"/>
      <c r="F660" s="65"/>
      <c r="G660" s="67"/>
    </row>
    <row r="661" ht="15.75" customHeight="1">
      <c r="B661" s="65"/>
      <c r="C661" s="65"/>
      <c r="D661" s="65"/>
      <c r="E661" s="66"/>
      <c r="F661" s="65"/>
      <c r="G661" s="67"/>
    </row>
    <row r="662" ht="15.75" customHeight="1">
      <c r="B662" s="65"/>
      <c r="C662" s="65"/>
      <c r="D662" s="65"/>
      <c r="E662" s="66"/>
      <c r="F662" s="65"/>
      <c r="G662" s="67"/>
    </row>
    <row r="663" ht="15.75" customHeight="1">
      <c r="B663" s="65"/>
      <c r="C663" s="65"/>
      <c r="D663" s="65"/>
      <c r="E663" s="66"/>
      <c r="F663" s="65"/>
      <c r="G663" s="67"/>
    </row>
    <row r="664" ht="15.75" customHeight="1">
      <c r="B664" s="65"/>
      <c r="C664" s="65"/>
      <c r="D664" s="65"/>
      <c r="E664" s="66"/>
      <c r="F664" s="65"/>
      <c r="G664" s="67"/>
    </row>
    <row r="665" ht="15.75" customHeight="1">
      <c r="B665" s="65"/>
      <c r="C665" s="65"/>
      <c r="D665" s="65"/>
      <c r="E665" s="66"/>
      <c r="F665" s="65"/>
      <c r="G665" s="67"/>
    </row>
    <row r="666" ht="15.75" customHeight="1">
      <c r="B666" s="65"/>
      <c r="C666" s="65"/>
      <c r="D666" s="65"/>
      <c r="E666" s="66"/>
      <c r="F666" s="65"/>
      <c r="G666" s="67"/>
    </row>
    <row r="667" ht="15.75" customHeight="1">
      <c r="B667" s="65"/>
      <c r="C667" s="65"/>
      <c r="D667" s="65"/>
      <c r="E667" s="66"/>
      <c r="F667" s="65"/>
      <c r="G667" s="67"/>
    </row>
    <row r="668" ht="15.75" customHeight="1">
      <c r="B668" s="65"/>
      <c r="C668" s="65"/>
      <c r="D668" s="65"/>
      <c r="E668" s="66"/>
      <c r="F668" s="65"/>
      <c r="G668" s="67"/>
    </row>
    <row r="669" ht="15.75" customHeight="1">
      <c r="B669" s="65"/>
      <c r="C669" s="65"/>
      <c r="D669" s="65"/>
      <c r="E669" s="66"/>
      <c r="F669" s="65"/>
      <c r="G669" s="67"/>
    </row>
    <row r="670" ht="15.75" customHeight="1">
      <c r="B670" s="65"/>
      <c r="C670" s="65"/>
      <c r="D670" s="65"/>
      <c r="E670" s="66"/>
      <c r="F670" s="65"/>
      <c r="G670" s="67"/>
    </row>
    <row r="671" ht="15.75" customHeight="1">
      <c r="B671" s="65"/>
      <c r="C671" s="65"/>
      <c r="D671" s="65"/>
      <c r="E671" s="66"/>
      <c r="F671" s="65"/>
      <c r="G671" s="67"/>
    </row>
    <row r="672" ht="15.75" customHeight="1">
      <c r="B672" s="65"/>
      <c r="C672" s="65"/>
      <c r="D672" s="65"/>
      <c r="E672" s="66"/>
      <c r="F672" s="65"/>
      <c r="G672" s="67"/>
    </row>
    <row r="673" ht="15.75" customHeight="1">
      <c r="B673" s="65"/>
      <c r="C673" s="65"/>
      <c r="D673" s="65"/>
      <c r="E673" s="66"/>
      <c r="F673" s="65"/>
      <c r="G673" s="67"/>
    </row>
    <row r="674" ht="15.75" customHeight="1">
      <c r="B674" s="65"/>
      <c r="C674" s="65"/>
      <c r="D674" s="65"/>
      <c r="E674" s="66"/>
      <c r="F674" s="65"/>
      <c r="G674" s="67"/>
    </row>
    <row r="675" ht="15.75" customHeight="1">
      <c r="B675" s="65"/>
      <c r="C675" s="65"/>
      <c r="D675" s="65"/>
      <c r="E675" s="66"/>
      <c r="F675" s="65"/>
      <c r="G675" s="67"/>
    </row>
    <row r="676" ht="15.75" customHeight="1">
      <c r="B676" s="65"/>
      <c r="C676" s="65"/>
      <c r="D676" s="65"/>
      <c r="E676" s="66"/>
      <c r="F676" s="65"/>
      <c r="G676" s="67"/>
    </row>
    <row r="677" ht="15.75" customHeight="1">
      <c r="B677" s="65"/>
      <c r="C677" s="65"/>
      <c r="D677" s="65"/>
      <c r="E677" s="66"/>
      <c r="F677" s="65"/>
      <c r="G677" s="67"/>
    </row>
    <row r="678" ht="15.75" customHeight="1">
      <c r="B678" s="65"/>
      <c r="C678" s="65"/>
      <c r="D678" s="65"/>
      <c r="E678" s="66"/>
      <c r="F678" s="65"/>
      <c r="G678" s="67"/>
    </row>
    <row r="679" ht="15.75" customHeight="1">
      <c r="B679" s="65"/>
      <c r="C679" s="65"/>
      <c r="D679" s="65"/>
      <c r="E679" s="66"/>
      <c r="F679" s="65"/>
      <c r="G679" s="67"/>
    </row>
    <row r="680" ht="15.75" customHeight="1">
      <c r="B680" s="65"/>
      <c r="C680" s="65"/>
      <c r="D680" s="65"/>
      <c r="E680" s="66"/>
      <c r="F680" s="65"/>
      <c r="G680" s="67"/>
    </row>
    <row r="681" ht="15.75" customHeight="1">
      <c r="B681" s="65"/>
      <c r="C681" s="65"/>
      <c r="D681" s="65"/>
      <c r="E681" s="66"/>
      <c r="F681" s="65"/>
      <c r="G681" s="67"/>
    </row>
    <row r="682" ht="15.75" customHeight="1">
      <c r="B682" s="65"/>
      <c r="C682" s="65"/>
      <c r="D682" s="65"/>
      <c r="E682" s="66"/>
      <c r="F682" s="65"/>
      <c r="G682" s="67"/>
    </row>
    <row r="683" ht="15.75" customHeight="1">
      <c r="B683" s="65"/>
      <c r="C683" s="65"/>
      <c r="D683" s="65"/>
      <c r="E683" s="66"/>
      <c r="F683" s="65"/>
      <c r="G683" s="67"/>
    </row>
    <row r="684" ht="15.75" customHeight="1">
      <c r="B684" s="65"/>
      <c r="C684" s="65"/>
      <c r="D684" s="65"/>
      <c r="E684" s="66"/>
      <c r="F684" s="65"/>
      <c r="G684" s="67"/>
    </row>
    <row r="685" ht="15.75" customHeight="1">
      <c r="B685" s="65"/>
      <c r="C685" s="65"/>
      <c r="D685" s="65"/>
      <c r="E685" s="66"/>
      <c r="F685" s="65"/>
      <c r="G685" s="67"/>
    </row>
    <row r="686" ht="15.75" customHeight="1">
      <c r="B686" s="65"/>
      <c r="C686" s="65"/>
      <c r="D686" s="65"/>
      <c r="E686" s="66"/>
      <c r="F686" s="65"/>
      <c r="G686" s="67"/>
    </row>
    <row r="687" ht="15.75" customHeight="1">
      <c r="B687" s="65"/>
      <c r="C687" s="65"/>
      <c r="D687" s="65"/>
      <c r="E687" s="66"/>
      <c r="F687" s="65"/>
      <c r="G687" s="67"/>
    </row>
    <row r="688" ht="15.75" customHeight="1">
      <c r="B688" s="65"/>
      <c r="C688" s="65"/>
      <c r="D688" s="65"/>
      <c r="E688" s="66"/>
      <c r="F688" s="65"/>
      <c r="G688" s="67"/>
    </row>
    <row r="689" ht="15.75" customHeight="1">
      <c r="B689" s="65"/>
      <c r="C689" s="65"/>
      <c r="D689" s="65"/>
      <c r="E689" s="66"/>
      <c r="F689" s="65"/>
      <c r="G689" s="67"/>
    </row>
    <row r="690" ht="15.75" customHeight="1">
      <c r="B690" s="65"/>
      <c r="C690" s="65"/>
      <c r="D690" s="65"/>
      <c r="E690" s="66"/>
      <c r="F690" s="65"/>
      <c r="G690" s="67"/>
    </row>
    <row r="691" ht="15.75" customHeight="1">
      <c r="B691" s="65"/>
      <c r="C691" s="65"/>
      <c r="D691" s="65"/>
      <c r="E691" s="66"/>
      <c r="F691" s="65"/>
      <c r="G691" s="67"/>
    </row>
    <row r="692" ht="15.75" customHeight="1">
      <c r="B692" s="65"/>
      <c r="C692" s="65"/>
      <c r="D692" s="65"/>
      <c r="E692" s="66"/>
      <c r="F692" s="65"/>
      <c r="G692" s="67"/>
    </row>
    <row r="693" ht="15.75" customHeight="1">
      <c r="B693" s="65"/>
      <c r="C693" s="65"/>
      <c r="D693" s="65"/>
      <c r="E693" s="66"/>
      <c r="F693" s="65"/>
      <c r="G693" s="67"/>
    </row>
    <row r="694" ht="15.75" customHeight="1">
      <c r="B694" s="65"/>
      <c r="C694" s="65"/>
      <c r="D694" s="65"/>
      <c r="E694" s="66"/>
      <c r="F694" s="65"/>
      <c r="G694" s="67"/>
    </row>
    <row r="695" ht="15.75" customHeight="1">
      <c r="B695" s="65"/>
      <c r="C695" s="65"/>
      <c r="D695" s="65"/>
      <c r="E695" s="66"/>
      <c r="F695" s="65"/>
      <c r="G695" s="67"/>
    </row>
    <row r="696" ht="15.75" customHeight="1">
      <c r="B696" s="65"/>
      <c r="C696" s="65"/>
      <c r="D696" s="65"/>
      <c r="E696" s="66"/>
      <c r="F696" s="65"/>
      <c r="G696" s="67"/>
    </row>
    <row r="697" ht="15.75" customHeight="1">
      <c r="B697" s="65"/>
      <c r="C697" s="65"/>
      <c r="D697" s="65"/>
      <c r="E697" s="66"/>
      <c r="F697" s="65"/>
      <c r="G697" s="67"/>
    </row>
    <row r="698" ht="15.75" customHeight="1">
      <c r="B698" s="65"/>
      <c r="C698" s="65"/>
      <c r="D698" s="65"/>
      <c r="E698" s="66"/>
      <c r="F698" s="65"/>
      <c r="G698" s="67"/>
    </row>
    <row r="699" ht="15.75" customHeight="1">
      <c r="B699" s="65"/>
      <c r="C699" s="65"/>
      <c r="D699" s="65"/>
      <c r="E699" s="66"/>
      <c r="F699" s="65"/>
      <c r="G699" s="67"/>
    </row>
    <row r="700" ht="15.75" customHeight="1">
      <c r="B700" s="65"/>
      <c r="C700" s="65"/>
      <c r="D700" s="65"/>
      <c r="E700" s="66"/>
      <c r="F700" s="65"/>
      <c r="G700" s="67"/>
    </row>
    <row r="701" ht="15.75" customHeight="1">
      <c r="B701" s="65"/>
      <c r="C701" s="65"/>
      <c r="D701" s="65"/>
      <c r="E701" s="66"/>
      <c r="F701" s="65"/>
      <c r="G701" s="67"/>
    </row>
    <row r="702" ht="15.75" customHeight="1">
      <c r="B702" s="65"/>
      <c r="C702" s="65"/>
      <c r="D702" s="65"/>
      <c r="E702" s="66"/>
      <c r="F702" s="65"/>
      <c r="G702" s="67"/>
    </row>
    <row r="703" ht="15.75" customHeight="1">
      <c r="B703" s="65"/>
      <c r="C703" s="65"/>
      <c r="D703" s="65"/>
      <c r="E703" s="66"/>
      <c r="F703" s="65"/>
      <c r="G703" s="67"/>
    </row>
    <row r="704" ht="15.75" customHeight="1">
      <c r="B704" s="65"/>
      <c r="C704" s="65"/>
      <c r="D704" s="65"/>
      <c r="E704" s="66"/>
      <c r="F704" s="65"/>
      <c r="G704" s="67"/>
    </row>
    <row r="705" ht="15.75" customHeight="1">
      <c r="B705" s="65"/>
      <c r="C705" s="65"/>
      <c r="D705" s="65"/>
      <c r="E705" s="66"/>
      <c r="F705" s="65"/>
      <c r="G705" s="67"/>
    </row>
    <row r="706" ht="15.75" customHeight="1">
      <c r="B706" s="65"/>
      <c r="C706" s="65"/>
      <c r="D706" s="65"/>
      <c r="E706" s="66"/>
      <c r="F706" s="65"/>
      <c r="G706" s="67"/>
    </row>
    <row r="707" ht="15.75" customHeight="1">
      <c r="B707" s="65"/>
      <c r="C707" s="65"/>
      <c r="D707" s="65"/>
      <c r="E707" s="66"/>
      <c r="F707" s="65"/>
      <c r="G707" s="67"/>
    </row>
    <row r="708" ht="15.75" customHeight="1">
      <c r="B708" s="65"/>
      <c r="C708" s="65"/>
      <c r="D708" s="65"/>
      <c r="E708" s="66"/>
      <c r="F708" s="65"/>
      <c r="G708" s="67"/>
    </row>
    <row r="709" ht="15.75" customHeight="1">
      <c r="B709" s="65"/>
      <c r="C709" s="65"/>
      <c r="D709" s="65"/>
      <c r="E709" s="66"/>
      <c r="F709" s="65"/>
      <c r="G709" s="67"/>
    </row>
    <row r="710" ht="15.75" customHeight="1">
      <c r="B710" s="65"/>
      <c r="C710" s="65"/>
      <c r="D710" s="65"/>
      <c r="E710" s="66"/>
      <c r="F710" s="65"/>
      <c r="G710" s="67"/>
    </row>
    <row r="711" ht="15.75" customHeight="1">
      <c r="B711" s="65"/>
      <c r="C711" s="65"/>
      <c r="D711" s="65"/>
      <c r="E711" s="66"/>
      <c r="F711" s="65"/>
      <c r="G711" s="67"/>
    </row>
    <row r="712" ht="15.75" customHeight="1">
      <c r="B712" s="65"/>
      <c r="C712" s="65"/>
      <c r="D712" s="65"/>
      <c r="E712" s="66"/>
      <c r="F712" s="65"/>
      <c r="G712" s="67"/>
    </row>
    <row r="713" ht="15.75" customHeight="1">
      <c r="B713" s="65"/>
      <c r="C713" s="65"/>
      <c r="D713" s="65"/>
      <c r="E713" s="66"/>
      <c r="F713" s="65"/>
      <c r="G713" s="67"/>
    </row>
    <row r="714" ht="15.75" customHeight="1">
      <c r="B714" s="65"/>
      <c r="C714" s="65"/>
      <c r="D714" s="65"/>
      <c r="E714" s="66"/>
      <c r="F714" s="65"/>
      <c r="G714" s="67"/>
    </row>
    <row r="715" ht="15.75" customHeight="1">
      <c r="B715" s="65"/>
      <c r="C715" s="65"/>
      <c r="D715" s="65"/>
      <c r="E715" s="66"/>
      <c r="F715" s="65"/>
      <c r="G715" s="67"/>
    </row>
    <row r="716" ht="15.75" customHeight="1">
      <c r="B716" s="65"/>
      <c r="C716" s="65"/>
      <c r="D716" s="65"/>
      <c r="E716" s="66"/>
      <c r="F716" s="65"/>
      <c r="G716" s="67"/>
    </row>
    <row r="717" ht="15.75" customHeight="1">
      <c r="B717" s="65"/>
      <c r="C717" s="65"/>
      <c r="D717" s="65"/>
      <c r="E717" s="66"/>
      <c r="F717" s="65"/>
      <c r="G717" s="67"/>
    </row>
    <row r="718" ht="15.75" customHeight="1">
      <c r="B718" s="65"/>
      <c r="C718" s="65"/>
      <c r="D718" s="65"/>
      <c r="E718" s="66"/>
      <c r="F718" s="65"/>
      <c r="G718" s="67"/>
    </row>
    <row r="719" ht="15.75" customHeight="1">
      <c r="B719" s="65"/>
      <c r="C719" s="65"/>
      <c r="D719" s="65"/>
      <c r="E719" s="66"/>
      <c r="F719" s="65"/>
      <c r="G719" s="67"/>
    </row>
    <row r="720" ht="15.75" customHeight="1">
      <c r="B720" s="65"/>
      <c r="C720" s="65"/>
      <c r="D720" s="65"/>
      <c r="E720" s="66"/>
      <c r="F720" s="65"/>
      <c r="G720" s="67"/>
    </row>
    <row r="721" ht="15.75" customHeight="1">
      <c r="B721" s="65"/>
      <c r="C721" s="65"/>
      <c r="D721" s="65"/>
      <c r="E721" s="66"/>
      <c r="F721" s="65"/>
      <c r="G721" s="67"/>
    </row>
    <row r="722" ht="15.75" customHeight="1">
      <c r="B722" s="65"/>
      <c r="C722" s="65"/>
      <c r="D722" s="65"/>
      <c r="E722" s="66"/>
      <c r="F722" s="65"/>
      <c r="G722" s="67"/>
    </row>
    <row r="723" ht="15.75" customHeight="1">
      <c r="B723" s="65"/>
      <c r="C723" s="65"/>
      <c r="D723" s="65"/>
      <c r="E723" s="66"/>
      <c r="F723" s="65"/>
      <c r="G723" s="67"/>
    </row>
    <row r="724" ht="15.75" customHeight="1">
      <c r="B724" s="65"/>
      <c r="C724" s="65"/>
      <c r="D724" s="65"/>
      <c r="E724" s="66"/>
      <c r="F724" s="65"/>
      <c r="G724" s="67"/>
    </row>
    <row r="725" ht="15.75" customHeight="1">
      <c r="B725" s="65"/>
      <c r="C725" s="65"/>
      <c r="D725" s="65"/>
      <c r="E725" s="66"/>
      <c r="F725" s="65"/>
      <c r="G725" s="67"/>
    </row>
    <row r="726" ht="15.75" customHeight="1">
      <c r="B726" s="65"/>
      <c r="C726" s="65"/>
      <c r="D726" s="65"/>
      <c r="E726" s="66"/>
      <c r="F726" s="65"/>
      <c r="G726" s="67"/>
    </row>
    <row r="727" ht="15.75" customHeight="1">
      <c r="B727" s="65"/>
      <c r="C727" s="65"/>
      <c r="D727" s="65"/>
      <c r="E727" s="66"/>
      <c r="F727" s="65"/>
      <c r="G727" s="67"/>
    </row>
    <row r="728" ht="15.75" customHeight="1">
      <c r="B728" s="65"/>
      <c r="C728" s="65"/>
      <c r="D728" s="65"/>
      <c r="E728" s="66"/>
      <c r="F728" s="65"/>
      <c r="G728" s="67"/>
    </row>
    <row r="729" ht="15.75" customHeight="1">
      <c r="B729" s="65"/>
      <c r="C729" s="65"/>
      <c r="D729" s="65"/>
      <c r="E729" s="66"/>
      <c r="F729" s="65"/>
      <c r="G729" s="67"/>
    </row>
    <row r="730" ht="15.75" customHeight="1">
      <c r="B730" s="65"/>
      <c r="C730" s="65"/>
      <c r="D730" s="65"/>
      <c r="E730" s="66"/>
      <c r="F730" s="65"/>
      <c r="G730" s="67"/>
    </row>
    <row r="731" ht="15.75" customHeight="1">
      <c r="B731" s="65"/>
      <c r="C731" s="65"/>
      <c r="D731" s="65"/>
      <c r="E731" s="66"/>
      <c r="F731" s="65"/>
      <c r="G731" s="67"/>
    </row>
    <row r="732" ht="15.75" customHeight="1">
      <c r="B732" s="65"/>
      <c r="C732" s="65"/>
      <c r="D732" s="65"/>
      <c r="E732" s="66"/>
      <c r="F732" s="65"/>
      <c r="G732" s="67"/>
    </row>
    <row r="733" ht="15.75" customHeight="1">
      <c r="B733" s="65"/>
      <c r="C733" s="65"/>
      <c r="D733" s="65"/>
      <c r="E733" s="66"/>
      <c r="F733" s="65"/>
      <c r="G733" s="67"/>
    </row>
    <row r="734" ht="15.75" customHeight="1">
      <c r="B734" s="65"/>
      <c r="C734" s="65"/>
      <c r="D734" s="65"/>
      <c r="E734" s="66"/>
      <c r="F734" s="65"/>
      <c r="G734" s="67"/>
    </row>
    <row r="735" ht="15.75" customHeight="1">
      <c r="B735" s="65"/>
      <c r="C735" s="65"/>
      <c r="D735" s="65"/>
      <c r="E735" s="66"/>
      <c r="F735" s="65"/>
      <c r="G735" s="67"/>
    </row>
    <row r="736" ht="15.75" customHeight="1">
      <c r="B736" s="65"/>
      <c r="C736" s="65"/>
      <c r="D736" s="65"/>
      <c r="E736" s="66"/>
      <c r="F736" s="65"/>
      <c r="G736" s="67"/>
    </row>
    <row r="737" ht="15.75" customHeight="1">
      <c r="B737" s="65"/>
      <c r="C737" s="65"/>
      <c r="D737" s="65"/>
      <c r="E737" s="66"/>
      <c r="F737" s="65"/>
      <c r="G737" s="67"/>
    </row>
    <row r="738" ht="15.75" customHeight="1">
      <c r="B738" s="65"/>
      <c r="C738" s="65"/>
      <c r="D738" s="65"/>
      <c r="E738" s="66"/>
      <c r="F738" s="65"/>
      <c r="G738" s="67"/>
    </row>
    <row r="739" ht="15.75" customHeight="1">
      <c r="B739" s="65"/>
      <c r="C739" s="65"/>
      <c r="D739" s="65"/>
      <c r="E739" s="66"/>
      <c r="F739" s="65"/>
      <c r="G739" s="67"/>
    </row>
    <row r="740" ht="15.75" customHeight="1">
      <c r="B740" s="65"/>
      <c r="C740" s="65"/>
      <c r="D740" s="65"/>
      <c r="E740" s="66"/>
      <c r="F740" s="65"/>
      <c r="G740" s="67"/>
    </row>
    <row r="741" ht="15.75" customHeight="1">
      <c r="B741" s="65"/>
      <c r="C741" s="65"/>
      <c r="D741" s="65"/>
      <c r="E741" s="66"/>
      <c r="F741" s="65"/>
      <c r="G741" s="67"/>
    </row>
    <row r="742" ht="15.75" customHeight="1">
      <c r="B742" s="65"/>
      <c r="C742" s="65"/>
      <c r="D742" s="65"/>
      <c r="E742" s="66"/>
      <c r="F742" s="65"/>
      <c r="G742" s="67"/>
    </row>
    <row r="743" ht="15.75" customHeight="1">
      <c r="B743" s="65"/>
      <c r="C743" s="65"/>
      <c r="D743" s="65"/>
      <c r="E743" s="66"/>
      <c r="F743" s="65"/>
      <c r="G743" s="67"/>
    </row>
    <row r="744" ht="15.75" customHeight="1">
      <c r="B744" s="65"/>
      <c r="C744" s="65"/>
      <c r="D744" s="65"/>
      <c r="E744" s="66"/>
      <c r="F744" s="65"/>
      <c r="G744" s="67"/>
    </row>
    <row r="745" ht="15.75" customHeight="1">
      <c r="B745" s="65"/>
      <c r="C745" s="65"/>
      <c r="D745" s="65"/>
      <c r="E745" s="66"/>
      <c r="F745" s="65"/>
      <c r="G745" s="67"/>
    </row>
    <row r="746" ht="15.75" customHeight="1">
      <c r="B746" s="65"/>
      <c r="C746" s="65"/>
      <c r="D746" s="65"/>
      <c r="E746" s="66"/>
      <c r="F746" s="65"/>
      <c r="G746" s="67"/>
    </row>
    <row r="747" ht="15.75" customHeight="1">
      <c r="B747" s="65"/>
      <c r="C747" s="65"/>
      <c r="D747" s="65"/>
      <c r="E747" s="66"/>
      <c r="F747" s="65"/>
      <c r="G747" s="67"/>
    </row>
    <row r="748" ht="15.75" customHeight="1">
      <c r="B748" s="65"/>
      <c r="C748" s="65"/>
      <c r="D748" s="65"/>
      <c r="E748" s="66"/>
      <c r="F748" s="65"/>
      <c r="G748" s="67"/>
    </row>
    <row r="749" ht="15.75" customHeight="1">
      <c r="B749" s="65"/>
      <c r="C749" s="65"/>
      <c r="D749" s="65"/>
      <c r="E749" s="66"/>
      <c r="F749" s="65"/>
      <c r="G749" s="67"/>
    </row>
    <row r="750" ht="15.75" customHeight="1">
      <c r="B750" s="65"/>
      <c r="C750" s="65"/>
      <c r="D750" s="65"/>
      <c r="E750" s="66"/>
      <c r="F750" s="65"/>
      <c r="G750" s="67"/>
    </row>
    <row r="751" ht="15.75" customHeight="1">
      <c r="B751" s="65"/>
      <c r="C751" s="65"/>
      <c r="D751" s="65"/>
      <c r="E751" s="66"/>
      <c r="F751" s="65"/>
      <c r="G751" s="67"/>
    </row>
    <row r="752" ht="15.75" customHeight="1">
      <c r="B752" s="65"/>
      <c r="C752" s="65"/>
      <c r="D752" s="65"/>
      <c r="E752" s="66"/>
      <c r="F752" s="65"/>
      <c r="G752" s="67"/>
    </row>
    <row r="753" ht="15.75" customHeight="1">
      <c r="B753" s="65"/>
      <c r="C753" s="65"/>
      <c r="D753" s="65"/>
      <c r="E753" s="66"/>
      <c r="F753" s="65"/>
      <c r="G753" s="67"/>
    </row>
    <row r="754" ht="15.75" customHeight="1">
      <c r="B754" s="65"/>
      <c r="C754" s="65"/>
      <c r="D754" s="65"/>
      <c r="E754" s="66"/>
      <c r="F754" s="65"/>
      <c r="G754" s="67"/>
    </row>
    <row r="755" ht="15.75" customHeight="1">
      <c r="B755" s="65"/>
      <c r="C755" s="65"/>
      <c r="D755" s="65"/>
      <c r="E755" s="66"/>
      <c r="F755" s="65"/>
      <c r="G755" s="67"/>
    </row>
    <row r="756" ht="15.75" customHeight="1">
      <c r="B756" s="65"/>
      <c r="C756" s="65"/>
      <c r="D756" s="65"/>
      <c r="E756" s="66"/>
      <c r="F756" s="65"/>
      <c r="G756" s="67"/>
    </row>
    <row r="757" ht="15.75" customHeight="1">
      <c r="B757" s="65"/>
      <c r="C757" s="65"/>
      <c r="D757" s="65"/>
      <c r="E757" s="66"/>
      <c r="F757" s="65"/>
      <c r="G757" s="67"/>
    </row>
    <row r="758" ht="15.75" customHeight="1">
      <c r="B758" s="65"/>
      <c r="C758" s="65"/>
      <c r="D758" s="65"/>
      <c r="E758" s="66"/>
      <c r="F758" s="65"/>
      <c r="G758" s="67"/>
    </row>
    <row r="759" ht="15.75" customHeight="1">
      <c r="B759" s="65"/>
      <c r="C759" s="65"/>
      <c r="D759" s="65"/>
      <c r="E759" s="66"/>
      <c r="F759" s="65"/>
      <c r="G759" s="67"/>
    </row>
    <row r="760" ht="15.75" customHeight="1">
      <c r="B760" s="65"/>
      <c r="C760" s="65"/>
      <c r="D760" s="65"/>
      <c r="E760" s="66"/>
      <c r="F760" s="65"/>
      <c r="G760" s="67"/>
    </row>
    <row r="761" ht="15.75" customHeight="1">
      <c r="B761" s="65"/>
      <c r="C761" s="65"/>
      <c r="D761" s="65"/>
      <c r="E761" s="66"/>
      <c r="F761" s="65"/>
      <c r="G761" s="67"/>
    </row>
    <row r="762" ht="15.75" customHeight="1">
      <c r="B762" s="65"/>
      <c r="C762" s="65"/>
      <c r="D762" s="65"/>
      <c r="E762" s="66"/>
      <c r="F762" s="65"/>
      <c r="G762" s="67"/>
    </row>
    <row r="763" ht="15.75" customHeight="1">
      <c r="B763" s="65"/>
      <c r="C763" s="65"/>
      <c r="D763" s="65"/>
      <c r="E763" s="66"/>
      <c r="F763" s="65"/>
      <c r="G763" s="67"/>
    </row>
    <row r="764" ht="15.75" customHeight="1">
      <c r="B764" s="65"/>
      <c r="C764" s="65"/>
      <c r="D764" s="65"/>
      <c r="E764" s="66"/>
      <c r="F764" s="65"/>
      <c r="G764" s="67"/>
    </row>
    <row r="765" ht="15.75" customHeight="1">
      <c r="B765" s="65"/>
      <c r="C765" s="65"/>
      <c r="D765" s="65"/>
      <c r="E765" s="66"/>
      <c r="F765" s="65"/>
      <c r="G765" s="67"/>
    </row>
    <row r="766" ht="15.75" customHeight="1">
      <c r="B766" s="65"/>
      <c r="C766" s="65"/>
      <c r="D766" s="65"/>
      <c r="E766" s="66"/>
      <c r="F766" s="65"/>
      <c r="G766" s="67"/>
    </row>
    <row r="767" ht="15.75" customHeight="1">
      <c r="B767" s="65"/>
      <c r="C767" s="65"/>
      <c r="D767" s="65"/>
      <c r="E767" s="66"/>
      <c r="F767" s="65"/>
      <c r="G767" s="67"/>
    </row>
    <row r="768" ht="15.75" customHeight="1">
      <c r="B768" s="65"/>
      <c r="C768" s="65"/>
      <c r="D768" s="65"/>
      <c r="E768" s="66"/>
      <c r="F768" s="65"/>
      <c r="G768" s="67"/>
    </row>
    <row r="769" ht="15.75" customHeight="1">
      <c r="B769" s="65"/>
      <c r="C769" s="65"/>
      <c r="D769" s="65"/>
      <c r="E769" s="66"/>
      <c r="F769" s="65"/>
      <c r="G769" s="67"/>
    </row>
    <row r="770" ht="15.75" customHeight="1">
      <c r="B770" s="65"/>
      <c r="C770" s="65"/>
      <c r="D770" s="65"/>
      <c r="E770" s="66"/>
      <c r="F770" s="65"/>
      <c r="G770" s="67"/>
    </row>
    <row r="771" ht="15.75" customHeight="1">
      <c r="B771" s="65"/>
      <c r="C771" s="65"/>
      <c r="D771" s="65"/>
      <c r="E771" s="66"/>
      <c r="F771" s="65"/>
      <c r="G771" s="67"/>
    </row>
    <row r="772" ht="15.75" customHeight="1">
      <c r="B772" s="65"/>
      <c r="C772" s="65"/>
      <c r="D772" s="65"/>
      <c r="E772" s="66"/>
      <c r="F772" s="65"/>
      <c r="G772" s="67"/>
    </row>
    <row r="773" ht="15.75" customHeight="1">
      <c r="B773" s="65"/>
      <c r="C773" s="65"/>
      <c r="D773" s="65"/>
      <c r="E773" s="66"/>
      <c r="F773" s="65"/>
      <c r="G773" s="67"/>
    </row>
    <row r="774" ht="15.75" customHeight="1">
      <c r="B774" s="65"/>
      <c r="C774" s="65"/>
      <c r="D774" s="65"/>
      <c r="E774" s="66"/>
      <c r="F774" s="65"/>
      <c r="G774" s="67"/>
    </row>
    <row r="775" ht="15.75" customHeight="1">
      <c r="B775" s="65"/>
      <c r="C775" s="65"/>
      <c r="D775" s="65"/>
      <c r="E775" s="66"/>
      <c r="F775" s="65"/>
      <c r="G775" s="67"/>
    </row>
    <row r="776" ht="15.75" customHeight="1">
      <c r="B776" s="65"/>
      <c r="C776" s="65"/>
      <c r="D776" s="65"/>
      <c r="E776" s="66"/>
      <c r="F776" s="65"/>
      <c r="G776" s="67"/>
    </row>
    <row r="777" ht="15.75" customHeight="1">
      <c r="B777" s="65"/>
      <c r="C777" s="65"/>
      <c r="D777" s="65"/>
      <c r="E777" s="66"/>
      <c r="F777" s="65"/>
      <c r="G777" s="67"/>
    </row>
    <row r="778" ht="15.75" customHeight="1">
      <c r="B778" s="65"/>
      <c r="C778" s="65"/>
      <c r="D778" s="65"/>
      <c r="E778" s="66"/>
      <c r="F778" s="65"/>
      <c r="G778" s="67"/>
    </row>
    <row r="779" ht="15.75" customHeight="1">
      <c r="B779" s="65"/>
      <c r="C779" s="65"/>
      <c r="D779" s="65"/>
      <c r="E779" s="66"/>
      <c r="F779" s="65"/>
      <c r="G779" s="67"/>
    </row>
    <row r="780" ht="15.75" customHeight="1">
      <c r="B780" s="65"/>
      <c r="C780" s="65"/>
      <c r="D780" s="65"/>
      <c r="E780" s="66"/>
      <c r="F780" s="65"/>
      <c r="G780" s="67"/>
    </row>
    <row r="781" ht="15.75" customHeight="1">
      <c r="B781" s="65"/>
      <c r="C781" s="65"/>
      <c r="D781" s="65"/>
      <c r="E781" s="66"/>
      <c r="F781" s="65"/>
      <c r="G781" s="67"/>
    </row>
    <row r="782" ht="15.75" customHeight="1">
      <c r="B782" s="65"/>
      <c r="C782" s="65"/>
      <c r="D782" s="65"/>
      <c r="E782" s="66"/>
      <c r="F782" s="65"/>
      <c r="G782" s="67"/>
    </row>
    <row r="783" ht="15.75" customHeight="1">
      <c r="B783" s="65"/>
      <c r="C783" s="65"/>
      <c r="D783" s="65"/>
      <c r="E783" s="66"/>
      <c r="F783" s="65"/>
      <c r="G783" s="67"/>
    </row>
    <row r="784" ht="15.75" customHeight="1">
      <c r="B784" s="65"/>
      <c r="C784" s="65"/>
      <c r="D784" s="65"/>
      <c r="E784" s="66"/>
      <c r="F784" s="65"/>
      <c r="G784" s="67"/>
    </row>
    <row r="785" ht="15.75" customHeight="1">
      <c r="B785" s="65"/>
      <c r="C785" s="65"/>
      <c r="D785" s="65"/>
      <c r="E785" s="66"/>
      <c r="F785" s="65"/>
      <c r="G785" s="67"/>
    </row>
    <row r="786" ht="15.75" customHeight="1">
      <c r="B786" s="65"/>
      <c r="C786" s="65"/>
      <c r="D786" s="65"/>
      <c r="E786" s="66"/>
      <c r="F786" s="65"/>
      <c r="G786" s="67"/>
    </row>
    <row r="787" ht="15.75" customHeight="1">
      <c r="B787" s="65"/>
      <c r="C787" s="65"/>
      <c r="D787" s="65"/>
      <c r="E787" s="66"/>
      <c r="F787" s="65"/>
      <c r="G787" s="67"/>
    </row>
    <row r="788" ht="15.75" customHeight="1">
      <c r="B788" s="65"/>
      <c r="C788" s="65"/>
      <c r="D788" s="65"/>
      <c r="E788" s="66"/>
      <c r="F788" s="65"/>
      <c r="G788" s="67"/>
    </row>
    <row r="789" ht="15.75" customHeight="1">
      <c r="B789" s="65"/>
      <c r="C789" s="65"/>
      <c r="D789" s="65"/>
      <c r="E789" s="66"/>
      <c r="F789" s="65"/>
      <c r="G789" s="67"/>
    </row>
    <row r="790" ht="15.75" customHeight="1">
      <c r="B790" s="65"/>
      <c r="C790" s="65"/>
      <c r="D790" s="65"/>
      <c r="E790" s="66"/>
      <c r="F790" s="65"/>
      <c r="G790" s="67"/>
    </row>
    <row r="791" ht="15.75" customHeight="1">
      <c r="B791" s="65"/>
      <c r="C791" s="65"/>
      <c r="D791" s="65"/>
      <c r="E791" s="66"/>
      <c r="F791" s="65"/>
      <c r="G791" s="67"/>
    </row>
    <row r="792" ht="15.75" customHeight="1">
      <c r="B792" s="65"/>
      <c r="C792" s="65"/>
      <c r="D792" s="65"/>
      <c r="E792" s="66"/>
      <c r="F792" s="65"/>
      <c r="G792" s="67"/>
    </row>
    <row r="793" ht="15.75" customHeight="1">
      <c r="B793" s="65"/>
      <c r="C793" s="65"/>
      <c r="D793" s="65"/>
      <c r="E793" s="66"/>
      <c r="F793" s="65"/>
      <c r="G793" s="67"/>
    </row>
    <row r="794" ht="15.75" customHeight="1">
      <c r="B794" s="65"/>
      <c r="C794" s="65"/>
      <c r="D794" s="65"/>
      <c r="E794" s="66"/>
      <c r="F794" s="65"/>
      <c r="G794" s="67"/>
    </row>
    <row r="795" ht="15.75" customHeight="1">
      <c r="B795" s="65"/>
      <c r="C795" s="65"/>
      <c r="D795" s="65"/>
      <c r="E795" s="66"/>
      <c r="F795" s="65"/>
      <c r="G795" s="67"/>
    </row>
    <row r="796" ht="15.75" customHeight="1">
      <c r="B796" s="65"/>
      <c r="C796" s="65"/>
      <c r="D796" s="65"/>
      <c r="E796" s="66"/>
      <c r="F796" s="65"/>
      <c r="G796" s="67"/>
    </row>
    <row r="797" ht="15.75" customHeight="1">
      <c r="B797" s="65"/>
      <c r="C797" s="65"/>
      <c r="D797" s="65"/>
      <c r="E797" s="66"/>
      <c r="F797" s="65"/>
      <c r="G797" s="67"/>
    </row>
    <row r="798" ht="15.75" customHeight="1">
      <c r="B798" s="65"/>
      <c r="C798" s="65"/>
      <c r="D798" s="65"/>
      <c r="E798" s="66"/>
      <c r="F798" s="65"/>
      <c r="G798" s="67"/>
    </row>
    <row r="799" ht="15.75" customHeight="1">
      <c r="B799" s="65"/>
      <c r="C799" s="65"/>
      <c r="D799" s="65"/>
      <c r="E799" s="66"/>
      <c r="F799" s="65"/>
      <c r="G799" s="67"/>
    </row>
    <row r="800" ht="15.75" customHeight="1">
      <c r="B800" s="65"/>
      <c r="C800" s="65"/>
      <c r="D800" s="65"/>
      <c r="E800" s="66"/>
      <c r="F800" s="65"/>
      <c r="G800" s="67"/>
    </row>
    <row r="801" ht="15.75" customHeight="1">
      <c r="B801" s="65"/>
      <c r="C801" s="65"/>
      <c r="D801" s="65"/>
      <c r="E801" s="66"/>
      <c r="F801" s="65"/>
      <c r="G801" s="67"/>
    </row>
    <row r="802" ht="15.75" customHeight="1">
      <c r="B802" s="65"/>
      <c r="C802" s="65"/>
      <c r="D802" s="65"/>
      <c r="E802" s="66"/>
      <c r="F802" s="65"/>
      <c r="G802" s="67"/>
    </row>
    <row r="803" ht="15.75" customHeight="1">
      <c r="B803" s="65"/>
      <c r="C803" s="65"/>
      <c r="D803" s="65"/>
      <c r="E803" s="66"/>
      <c r="F803" s="65"/>
      <c r="G803" s="67"/>
    </row>
    <row r="804" ht="15.75" customHeight="1">
      <c r="B804" s="65"/>
      <c r="C804" s="65"/>
      <c r="D804" s="65"/>
      <c r="E804" s="66"/>
      <c r="F804" s="65"/>
      <c r="G804" s="67"/>
    </row>
    <row r="805" ht="15.75" customHeight="1">
      <c r="B805" s="65"/>
      <c r="C805" s="65"/>
      <c r="D805" s="65"/>
      <c r="E805" s="66"/>
      <c r="F805" s="65"/>
      <c r="G805" s="67"/>
    </row>
    <row r="806" ht="15.75" customHeight="1">
      <c r="B806" s="65"/>
      <c r="C806" s="65"/>
      <c r="D806" s="65"/>
      <c r="E806" s="66"/>
      <c r="F806" s="65"/>
      <c r="G806" s="67"/>
    </row>
    <row r="807" ht="15.75" customHeight="1">
      <c r="B807" s="65"/>
      <c r="C807" s="65"/>
      <c r="D807" s="65"/>
      <c r="E807" s="66"/>
      <c r="F807" s="65"/>
      <c r="G807" s="67"/>
    </row>
    <row r="808" ht="15.75" customHeight="1">
      <c r="B808" s="65"/>
      <c r="C808" s="65"/>
      <c r="D808" s="65"/>
      <c r="E808" s="66"/>
      <c r="F808" s="65"/>
      <c r="G808" s="67"/>
    </row>
    <row r="809" ht="15.75" customHeight="1">
      <c r="B809" s="65"/>
      <c r="C809" s="65"/>
      <c r="D809" s="65"/>
      <c r="E809" s="66"/>
      <c r="F809" s="65"/>
      <c r="G809" s="67"/>
    </row>
    <row r="810" ht="15.75" customHeight="1">
      <c r="B810" s="65"/>
      <c r="C810" s="65"/>
      <c r="D810" s="65"/>
      <c r="E810" s="66"/>
      <c r="F810" s="65"/>
      <c r="G810" s="67"/>
    </row>
    <row r="811" ht="15.75" customHeight="1">
      <c r="B811" s="65"/>
      <c r="C811" s="65"/>
      <c r="D811" s="65"/>
      <c r="E811" s="66"/>
      <c r="F811" s="65"/>
      <c r="G811" s="67"/>
    </row>
    <row r="812" ht="15.75" customHeight="1">
      <c r="B812" s="65"/>
      <c r="C812" s="65"/>
      <c r="D812" s="65"/>
      <c r="E812" s="66"/>
      <c r="F812" s="65"/>
      <c r="G812" s="67"/>
    </row>
    <row r="813" ht="15.75" customHeight="1">
      <c r="B813" s="65"/>
      <c r="C813" s="65"/>
      <c r="D813" s="65"/>
      <c r="E813" s="66"/>
      <c r="F813" s="65"/>
      <c r="G813" s="67"/>
    </row>
    <row r="814" ht="15.75" customHeight="1">
      <c r="B814" s="65"/>
      <c r="C814" s="65"/>
      <c r="D814" s="65"/>
      <c r="E814" s="66"/>
      <c r="F814" s="65"/>
      <c r="G814" s="67"/>
    </row>
    <row r="815" ht="15.75" customHeight="1">
      <c r="B815" s="65"/>
      <c r="C815" s="65"/>
      <c r="D815" s="65"/>
      <c r="E815" s="66"/>
      <c r="F815" s="65"/>
      <c r="G815" s="67"/>
    </row>
    <row r="816" ht="15.75" customHeight="1">
      <c r="B816" s="65"/>
      <c r="C816" s="65"/>
      <c r="D816" s="65"/>
      <c r="E816" s="66"/>
      <c r="F816" s="65"/>
      <c r="G816" s="67"/>
    </row>
    <row r="817" ht="15.75" customHeight="1">
      <c r="B817" s="65"/>
      <c r="C817" s="65"/>
      <c r="D817" s="65"/>
      <c r="E817" s="66"/>
      <c r="F817" s="65"/>
      <c r="G817" s="67"/>
    </row>
    <row r="818" ht="15.75" customHeight="1">
      <c r="B818" s="65"/>
      <c r="C818" s="65"/>
      <c r="D818" s="65"/>
      <c r="E818" s="66"/>
      <c r="F818" s="65"/>
      <c r="G818" s="67"/>
    </row>
    <row r="819" ht="15.75" customHeight="1">
      <c r="B819" s="65"/>
      <c r="C819" s="65"/>
      <c r="D819" s="65"/>
      <c r="E819" s="66"/>
      <c r="F819" s="65"/>
      <c r="G819" s="67"/>
    </row>
    <row r="820" ht="15.75" customHeight="1">
      <c r="B820" s="65"/>
      <c r="C820" s="65"/>
      <c r="D820" s="65"/>
      <c r="E820" s="66"/>
      <c r="F820" s="65"/>
      <c r="G820" s="67"/>
    </row>
    <row r="821" ht="15.75" customHeight="1">
      <c r="B821" s="65"/>
      <c r="C821" s="65"/>
      <c r="D821" s="65"/>
      <c r="E821" s="66"/>
      <c r="F821" s="65"/>
      <c r="G821" s="67"/>
    </row>
    <row r="822" ht="15.75" customHeight="1">
      <c r="B822" s="65"/>
      <c r="C822" s="65"/>
      <c r="D822" s="65"/>
      <c r="E822" s="66"/>
      <c r="F822" s="65"/>
      <c r="G822" s="67"/>
    </row>
    <row r="823" ht="15.75" customHeight="1">
      <c r="B823" s="65"/>
      <c r="C823" s="65"/>
      <c r="D823" s="65"/>
      <c r="E823" s="66"/>
      <c r="F823" s="65"/>
      <c r="G823" s="67"/>
    </row>
    <row r="824" ht="15.75" customHeight="1">
      <c r="B824" s="65"/>
      <c r="C824" s="65"/>
      <c r="D824" s="65"/>
      <c r="E824" s="66"/>
      <c r="F824" s="65"/>
      <c r="G824" s="67"/>
    </row>
    <row r="825" ht="15.75" customHeight="1">
      <c r="B825" s="65"/>
      <c r="C825" s="65"/>
      <c r="D825" s="65"/>
      <c r="E825" s="66"/>
      <c r="F825" s="65"/>
      <c r="G825" s="67"/>
    </row>
    <row r="826" ht="15.75" customHeight="1">
      <c r="B826" s="65"/>
      <c r="C826" s="65"/>
      <c r="D826" s="65"/>
      <c r="E826" s="66"/>
      <c r="F826" s="65"/>
      <c r="G826" s="67"/>
    </row>
    <row r="827" ht="15.75" customHeight="1">
      <c r="B827" s="65"/>
      <c r="C827" s="65"/>
      <c r="D827" s="65"/>
      <c r="E827" s="66"/>
      <c r="F827" s="65"/>
      <c r="G827" s="67"/>
    </row>
    <row r="828" ht="15.75" customHeight="1">
      <c r="B828" s="65"/>
      <c r="C828" s="65"/>
      <c r="D828" s="65"/>
      <c r="E828" s="66"/>
      <c r="F828" s="65"/>
      <c r="G828" s="67"/>
    </row>
    <row r="829" ht="15.75" customHeight="1">
      <c r="B829" s="65"/>
      <c r="C829" s="65"/>
      <c r="D829" s="65"/>
      <c r="E829" s="66"/>
      <c r="F829" s="65"/>
      <c r="G829" s="67"/>
    </row>
    <row r="830" ht="15.75" customHeight="1">
      <c r="B830" s="65"/>
      <c r="C830" s="65"/>
      <c r="D830" s="65"/>
      <c r="E830" s="66"/>
      <c r="F830" s="65"/>
      <c r="G830" s="67"/>
    </row>
    <row r="831" ht="15.75" customHeight="1">
      <c r="B831" s="65"/>
      <c r="C831" s="65"/>
      <c r="D831" s="65"/>
      <c r="E831" s="66"/>
      <c r="F831" s="65"/>
      <c r="G831" s="67"/>
    </row>
    <row r="832" ht="15.75" customHeight="1">
      <c r="B832" s="65"/>
      <c r="C832" s="65"/>
      <c r="D832" s="65"/>
      <c r="E832" s="66"/>
      <c r="F832" s="65"/>
      <c r="G832" s="67"/>
    </row>
    <row r="833" ht="15.75" customHeight="1">
      <c r="B833" s="65"/>
      <c r="C833" s="65"/>
      <c r="D833" s="65"/>
      <c r="E833" s="66"/>
      <c r="F833" s="65"/>
      <c r="G833" s="67"/>
    </row>
    <row r="834" ht="15.75" customHeight="1">
      <c r="B834" s="65"/>
      <c r="C834" s="65"/>
      <c r="D834" s="65"/>
      <c r="E834" s="66"/>
      <c r="F834" s="65"/>
      <c r="G834" s="67"/>
    </row>
    <row r="835" ht="15.75" customHeight="1">
      <c r="B835" s="65"/>
      <c r="C835" s="65"/>
      <c r="D835" s="65"/>
      <c r="E835" s="66"/>
      <c r="F835" s="65"/>
      <c r="G835" s="67"/>
    </row>
    <row r="836" ht="15.75" customHeight="1">
      <c r="B836" s="65"/>
      <c r="C836" s="65"/>
      <c r="D836" s="65"/>
      <c r="E836" s="66"/>
      <c r="F836" s="65"/>
      <c r="G836" s="67"/>
    </row>
    <row r="837" ht="15.75" customHeight="1">
      <c r="B837" s="65"/>
      <c r="C837" s="65"/>
      <c r="D837" s="65"/>
      <c r="E837" s="66"/>
      <c r="F837" s="65"/>
      <c r="G837" s="67"/>
    </row>
    <row r="838" ht="15.75" customHeight="1">
      <c r="B838" s="65"/>
      <c r="C838" s="65"/>
      <c r="D838" s="65"/>
      <c r="E838" s="66"/>
      <c r="F838" s="65"/>
      <c r="G838" s="67"/>
    </row>
    <row r="839" ht="15.75" customHeight="1">
      <c r="B839" s="65"/>
      <c r="C839" s="65"/>
      <c r="D839" s="65"/>
      <c r="E839" s="66"/>
      <c r="F839" s="65"/>
      <c r="G839" s="67"/>
    </row>
    <row r="840" ht="15.75" customHeight="1">
      <c r="B840" s="65"/>
      <c r="C840" s="65"/>
      <c r="D840" s="65"/>
      <c r="E840" s="66"/>
      <c r="F840" s="65"/>
      <c r="G840" s="67"/>
    </row>
    <row r="841" ht="15.75" customHeight="1">
      <c r="B841" s="65"/>
      <c r="C841" s="65"/>
      <c r="D841" s="65"/>
      <c r="E841" s="66"/>
      <c r="F841" s="65"/>
      <c r="G841" s="67"/>
    </row>
    <row r="842" ht="15.75" customHeight="1">
      <c r="B842" s="65"/>
      <c r="C842" s="65"/>
      <c r="D842" s="65"/>
      <c r="E842" s="66"/>
      <c r="F842" s="65"/>
      <c r="G842" s="67"/>
    </row>
    <row r="843" ht="15.75" customHeight="1">
      <c r="B843" s="65"/>
      <c r="C843" s="65"/>
      <c r="D843" s="65"/>
      <c r="E843" s="66"/>
      <c r="F843" s="65"/>
      <c r="G843" s="67"/>
    </row>
    <row r="844" ht="15.75" customHeight="1">
      <c r="B844" s="65"/>
      <c r="C844" s="65"/>
      <c r="D844" s="65"/>
      <c r="E844" s="66"/>
      <c r="F844" s="65"/>
      <c r="G844" s="67"/>
    </row>
    <row r="845" ht="15.75" customHeight="1">
      <c r="B845" s="65"/>
      <c r="C845" s="65"/>
      <c r="D845" s="65"/>
      <c r="E845" s="66"/>
      <c r="F845" s="65"/>
      <c r="G845" s="67"/>
    </row>
    <row r="846" ht="15.75" customHeight="1">
      <c r="B846" s="65"/>
      <c r="C846" s="65"/>
      <c r="D846" s="65"/>
      <c r="E846" s="66"/>
      <c r="F846" s="65"/>
      <c r="G846" s="67"/>
    </row>
    <row r="847" ht="15.75" customHeight="1">
      <c r="B847" s="65"/>
      <c r="C847" s="65"/>
      <c r="D847" s="65"/>
      <c r="E847" s="66"/>
      <c r="F847" s="65"/>
      <c r="G847" s="67"/>
    </row>
    <row r="848" ht="15.75" customHeight="1">
      <c r="B848" s="65"/>
      <c r="C848" s="65"/>
      <c r="D848" s="65"/>
      <c r="E848" s="66"/>
      <c r="F848" s="65"/>
      <c r="G848" s="67"/>
    </row>
    <row r="849" ht="15.75" customHeight="1">
      <c r="B849" s="65"/>
      <c r="C849" s="65"/>
      <c r="D849" s="65"/>
      <c r="E849" s="66"/>
      <c r="F849" s="65"/>
      <c r="G849" s="67"/>
    </row>
    <row r="850" ht="15.75" customHeight="1">
      <c r="B850" s="65"/>
      <c r="C850" s="65"/>
      <c r="D850" s="65"/>
      <c r="E850" s="66"/>
      <c r="F850" s="65"/>
      <c r="G850" s="67"/>
    </row>
    <row r="851" ht="15.75" customHeight="1">
      <c r="B851" s="65"/>
      <c r="C851" s="65"/>
      <c r="D851" s="65"/>
      <c r="E851" s="66"/>
      <c r="F851" s="65"/>
      <c r="G851" s="67"/>
    </row>
    <row r="852" ht="15.75" customHeight="1">
      <c r="B852" s="65"/>
      <c r="C852" s="65"/>
      <c r="D852" s="65"/>
      <c r="E852" s="66"/>
      <c r="F852" s="65"/>
      <c r="G852" s="67"/>
    </row>
    <row r="853" ht="15.75" customHeight="1">
      <c r="B853" s="65"/>
      <c r="C853" s="65"/>
      <c r="D853" s="65"/>
      <c r="E853" s="66"/>
      <c r="F853" s="65"/>
      <c r="G853" s="67"/>
    </row>
    <row r="854" ht="15.75" customHeight="1">
      <c r="B854" s="65"/>
      <c r="C854" s="65"/>
      <c r="D854" s="65"/>
      <c r="E854" s="66"/>
      <c r="F854" s="65"/>
      <c r="G854" s="67"/>
    </row>
    <row r="855" ht="15.75" customHeight="1">
      <c r="B855" s="65"/>
      <c r="C855" s="65"/>
      <c r="D855" s="65"/>
      <c r="E855" s="66"/>
      <c r="F855" s="65"/>
      <c r="G855" s="67"/>
    </row>
    <row r="856" ht="15.75" customHeight="1">
      <c r="B856" s="65"/>
      <c r="C856" s="65"/>
      <c r="D856" s="65"/>
      <c r="E856" s="66"/>
      <c r="F856" s="65"/>
      <c r="G856" s="67"/>
    </row>
    <row r="857" ht="15.75" customHeight="1">
      <c r="B857" s="65"/>
      <c r="C857" s="65"/>
      <c r="D857" s="65"/>
      <c r="E857" s="66"/>
      <c r="F857" s="65"/>
      <c r="G857" s="67"/>
    </row>
    <row r="858" ht="15.75" customHeight="1">
      <c r="B858" s="65"/>
      <c r="C858" s="65"/>
      <c r="D858" s="65"/>
      <c r="E858" s="66"/>
      <c r="F858" s="65"/>
      <c r="G858" s="67"/>
    </row>
    <row r="859" ht="15.75" customHeight="1">
      <c r="B859" s="65"/>
      <c r="C859" s="65"/>
      <c r="D859" s="65"/>
      <c r="E859" s="66"/>
      <c r="F859" s="65"/>
      <c r="G859" s="67"/>
    </row>
    <row r="860" ht="15.75" customHeight="1">
      <c r="B860" s="65"/>
      <c r="C860" s="65"/>
      <c r="D860" s="65"/>
      <c r="E860" s="66"/>
      <c r="F860" s="65"/>
      <c r="G860" s="67"/>
    </row>
    <row r="861" ht="15.75" customHeight="1">
      <c r="B861" s="65"/>
      <c r="C861" s="65"/>
      <c r="D861" s="65"/>
      <c r="E861" s="66"/>
      <c r="F861" s="65"/>
      <c r="G861" s="67"/>
    </row>
    <row r="862" ht="15.75" customHeight="1">
      <c r="B862" s="65"/>
      <c r="C862" s="65"/>
      <c r="D862" s="65"/>
      <c r="E862" s="66"/>
      <c r="F862" s="65"/>
      <c r="G862" s="67"/>
    </row>
    <row r="863" ht="15.75" customHeight="1">
      <c r="B863" s="65"/>
      <c r="C863" s="65"/>
      <c r="D863" s="65"/>
      <c r="E863" s="66"/>
      <c r="F863" s="65"/>
      <c r="G863" s="67"/>
    </row>
    <row r="864" ht="15.75" customHeight="1">
      <c r="B864" s="65"/>
      <c r="C864" s="65"/>
      <c r="D864" s="65"/>
      <c r="E864" s="66"/>
      <c r="F864" s="65"/>
      <c r="G864" s="67"/>
    </row>
    <row r="865" ht="15.75" customHeight="1">
      <c r="B865" s="65"/>
      <c r="C865" s="65"/>
      <c r="D865" s="65"/>
      <c r="E865" s="66"/>
      <c r="F865" s="65"/>
      <c r="G865" s="67"/>
    </row>
    <row r="866" ht="15.75" customHeight="1">
      <c r="B866" s="65"/>
      <c r="C866" s="65"/>
      <c r="D866" s="65"/>
      <c r="E866" s="66"/>
      <c r="F866" s="65"/>
      <c r="G866" s="67"/>
    </row>
    <row r="867" ht="15.75" customHeight="1">
      <c r="B867" s="65"/>
      <c r="C867" s="65"/>
      <c r="D867" s="65"/>
      <c r="E867" s="66"/>
      <c r="F867" s="65"/>
      <c r="G867" s="67"/>
    </row>
    <row r="868" ht="15.75" customHeight="1">
      <c r="B868" s="65"/>
      <c r="C868" s="65"/>
      <c r="D868" s="65"/>
      <c r="E868" s="66"/>
      <c r="F868" s="65"/>
      <c r="G868" s="67"/>
    </row>
    <row r="869" ht="15.75" customHeight="1">
      <c r="B869" s="65"/>
      <c r="C869" s="65"/>
      <c r="D869" s="65"/>
      <c r="E869" s="66"/>
      <c r="F869" s="65"/>
      <c r="G869" s="67"/>
    </row>
    <row r="870" ht="15.75" customHeight="1">
      <c r="B870" s="65"/>
      <c r="C870" s="65"/>
      <c r="D870" s="65"/>
      <c r="E870" s="66"/>
      <c r="F870" s="65"/>
      <c r="G870" s="67"/>
    </row>
    <row r="871" ht="15.75" customHeight="1">
      <c r="B871" s="65"/>
      <c r="C871" s="65"/>
      <c r="D871" s="65"/>
      <c r="E871" s="66"/>
      <c r="F871" s="65"/>
      <c r="G871" s="67"/>
    </row>
    <row r="872" ht="15.75" customHeight="1">
      <c r="B872" s="65"/>
      <c r="C872" s="65"/>
      <c r="D872" s="65"/>
      <c r="E872" s="66"/>
      <c r="F872" s="65"/>
      <c r="G872" s="67"/>
    </row>
    <row r="873" ht="15.75" customHeight="1">
      <c r="B873" s="65"/>
      <c r="C873" s="65"/>
      <c r="D873" s="65"/>
      <c r="E873" s="66"/>
      <c r="F873" s="65"/>
      <c r="G873" s="67"/>
    </row>
    <row r="874" ht="15.75" customHeight="1">
      <c r="B874" s="65"/>
      <c r="C874" s="65"/>
      <c r="D874" s="65"/>
      <c r="E874" s="66"/>
      <c r="F874" s="65"/>
      <c r="G874" s="67"/>
    </row>
    <row r="875" ht="15.75" customHeight="1">
      <c r="B875" s="65"/>
      <c r="C875" s="65"/>
      <c r="D875" s="65"/>
      <c r="E875" s="66"/>
      <c r="F875" s="65"/>
      <c r="G875" s="67"/>
    </row>
    <row r="876" ht="15.75" customHeight="1">
      <c r="B876" s="65"/>
      <c r="C876" s="65"/>
      <c r="D876" s="65"/>
      <c r="E876" s="66"/>
      <c r="F876" s="65"/>
      <c r="G876" s="67"/>
    </row>
    <row r="877" ht="15.75" customHeight="1">
      <c r="B877" s="65"/>
      <c r="C877" s="65"/>
      <c r="D877" s="65"/>
      <c r="E877" s="66"/>
      <c r="F877" s="65"/>
      <c r="G877" s="67"/>
    </row>
    <row r="878" ht="15.75" customHeight="1">
      <c r="B878" s="65"/>
      <c r="C878" s="65"/>
      <c r="D878" s="65"/>
      <c r="E878" s="66"/>
      <c r="F878" s="65"/>
      <c r="G878" s="67"/>
    </row>
    <row r="879" ht="15.75" customHeight="1">
      <c r="B879" s="65"/>
      <c r="C879" s="65"/>
      <c r="D879" s="65"/>
      <c r="E879" s="66"/>
      <c r="F879" s="65"/>
      <c r="G879" s="67"/>
    </row>
    <row r="880" ht="15.75" customHeight="1">
      <c r="B880" s="65"/>
      <c r="C880" s="65"/>
      <c r="D880" s="65"/>
      <c r="E880" s="66"/>
      <c r="F880" s="65"/>
      <c r="G880" s="67"/>
    </row>
    <row r="881" ht="15.75" customHeight="1">
      <c r="B881" s="65"/>
      <c r="C881" s="65"/>
      <c r="D881" s="65"/>
      <c r="E881" s="66"/>
      <c r="F881" s="65"/>
      <c r="G881" s="67"/>
    </row>
    <row r="882" ht="15.75" customHeight="1">
      <c r="B882" s="65"/>
      <c r="C882" s="65"/>
      <c r="D882" s="65"/>
      <c r="E882" s="66"/>
      <c r="F882" s="65"/>
      <c r="G882" s="67"/>
    </row>
    <row r="883" ht="15.75" customHeight="1">
      <c r="B883" s="65"/>
      <c r="C883" s="65"/>
      <c r="D883" s="65"/>
      <c r="E883" s="66"/>
      <c r="F883" s="65"/>
      <c r="G883" s="67"/>
    </row>
    <row r="884" ht="15.75" customHeight="1">
      <c r="B884" s="65"/>
      <c r="C884" s="65"/>
      <c r="D884" s="65"/>
      <c r="E884" s="66"/>
      <c r="F884" s="65"/>
      <c r="G884" s="67"/>
    </row>
    <row r="885" ht="15.75" customHeight="1">
      <c r="B885" s="65"/>
      <c r="C885" s="65"/>
      <c r="D885" s="65"/>
      <c r="E885" s="66"/>
      <c r="F885" s="65"/>
      <c r="G885" s="67"/>
    </row>
    <row r="886" ht="15.75" customHeight="1">
      <c r="B886" s="65"/>
      <c r="C886" s="65"/>
      <c r="D886" s="65"/>
      <c r="E886" s="66"/>
      <c r="F886" s="65"/>
      <c r="G886" s="67"/>
    </row>
    <row r="887" ht="15.75" customHeight="1">
      <c r="B887" s="65"/>
      <c r="C887" s="65"/>
      <c r="D887" s="65"/>
      <c r="E887" s="66"/>
      <c r="F887" s="65"/>
      <c r="G887" s="67"/>
    </row>
    <row r="888" ht="15.75" customHeight="1">
      <c r="B888" s="65"/>
      <c r="C888" s="65"/>
      <c r="D888" s="65"/>
      <c r="E888" s="66"/>
      <c r="F888" s="65"/>
      <c r="G888" s="67"/>
    </row>
    <row r="889" ht="15.75" customHeight="1">
      <c r="B889" s="65"/>
      <c r="C889" s="65"/>
      <c r="D889" s="65"/>
      <c r="E889" s="66"/>
      <c r="F889" s="65"/>
      <c r="G889" s="67"/>
    </row>
    <row r="890" ht="15.75" customHeight="1">
      <c r="B890" s="65"/>
      <c r="C890" s="65"/>
      <c r="D890" s="65"/>
      <c r="E890" s="66"/>
      <c r="F890" s="65"/>
      <c r="G890" s="67"/>
    </row>
    <row r="891" ht="15.75" customHeight="1">
      <c r="B891" s="65"/>
      <c r="C891" s="65"/>
      <c r="D891" s="65"/>
      <c r="E891" s="66"/>
      <c r="F891" s="65"/>
      <c r="G891" s="67"/>
    </row>
    <row r="892" ht="15.75" customHeight="1">
      <c r="B892" s="65"/>
      <c r="C892" s="65"/>
      <c r="D892" s="65"/>
      <c r="E892" s="66"/>
      <c r="F892" s="65"/>
      <c r="G892" s="67"/>
    </row>
    <row r="893" ht="15.75" customHeight="1">
      <c r="B893" s="65"/>
      <c r="C893" s="65"/>
      <c r="D893" s="65"/>
      <c r="E893" s="66"/>
      <c r="F893" s="65"/>
      <c r="G893" s="67"/>
    </row>
    <row r="894" ht="15.75" customHeight="1">
      <c r="B894" s="65"/>
      <c r="C894" s="65"/>
      <c r="D894" s="65"/>
      <c r="E894" s="66"/>
      <c r="F894" s="65"/>
      <c r="G894" s="67"/>
    </row>
    <row r="895" ht="15.75" customHeight="1">
      <c r="B895" s="65"/>
      <c r="C895" s="65"/>
      <c r="D895" s="65"/>
      <c r="E895" s="66"/>
      <c r="F895" s="65"/>
      <c r="G895" s="67"/>
    </row>
    <row r="896" ht="15.75" customHeight="1">
      <c r="B896" s="65"/>
      <c r="C896" s="65"/>
      <c r="D896" s="65"/>
      <c r="E896" s="66"/>
      <c r="F896" s="65"/>
      <c r="G896" s="67"/>
    </row>
    <row r="897" ht="15.75" customHeight="1">
      <c r="B897" s="65"/>
      <c r="C897" s="65"/>
      <c r="D897" s="65"/>
      <c r="E897" s="66"/>
      <c r="F897" s="65"/>
      <c r="G897" s="67"/>
    </row>
    <row r="898" ht="15.75" customHeight="1">
      <c r="B898" s="65"/>
      <c r="C898" s="65"/>
      <c r="D898" s="65"/>
      <c r="E898" s="66"/>
      <c r="F898" s="65"/>
      <c r="G898" s="67"/>
    </row>
    <row r="899" ht="15.75" customHeight="1">
      <c r="B899" s="65"/>
      <c r="C899" s="65"/>
      <c r="D899" s="65"/>
      <c r="E899" s="66"/>
      <c r="F899" s="65"/>
      <c r="G899" s="67"/>
    </row>
    <row r="900" ht="15.75" customHeight="1">
      <c r="B900" s="65"/>
      <c r="C900" s="65"/>
      <c r="D900" s="65"/>
      <c r="E900" s="66"/>
      <c r="F900" s="65"/>
      <c r="G900" s="67"/>
    </row>
    <row r="901" ht="15.75" customHeight="1">
      <c r="B901" s="65"/>
      <c r="C901" s="65"/>
      <c r="D901" s="65"/>
      <c r="E901" s="66"/>
      <c r="F901" s="65"/>
      <c r="G901" s="67"/>
    </row>
    <row r="902" ht="15.75" customHeight="1">
      <c r="B902" s="65"/>
      <c r="C902" s="65"/>
      <c r="D902" s="65"/>
      <c r="E902" s="66"/>
      <c r="F902" s="65"/>
      <c r="G902" s="67"/>
    </row>
    <row r="903" ht="15.75" customHeight="1">
      <c r="B903" s="65"/>
      <c r="C903" s="65"/>
      <c r="D903" s="65"/>
      <c r="E903" s="66"/>
      <c r="F903" s="65"/>
      <c r="G903" s="67"/>
    </row>
    <row r="904" ht="15.75" customHeight="1">
      <c r="B904" s="65"/>
      <c r="C904" s="65"/>
      <c r="D904" s="65"/>
      <c r="E904" s="66"/>
      <c r="F904" s="65"/>
      <c r="G904" s="67"/>
    </row>
    <row r="905" ht="15.75" customHeight="1">
      <c r="B905" s="65"/>
      <c r="C905" s="65"/>
      <c r="D905" s="65"/>
      <c r="E905" s="66"/>
      <c r="F905" s="65"/>
      <c r="G905" s="67"/>
    </row>
    <row r="906" ht="15.75" customHeight="1">
      <c r="B906" s="65"/>
      <c r="C906" s="65"/>
      <c r="D906" s="65"/>
      <c r="E906" s="66"/>
      <c r="F906" s="65"/>
      <c r="G906" s="67"/>
    </row>
    <row r="907" ht="15.75" customHeight="1">
      <c r="B907" s="65"/>
      <c r="C907" s="65"/>
      <c r="D907" s="65"/>
      <c r="E907" s="66"/>
      <c r="F907" s="65"/>
      <c r="G907" s="67"/>
    </row>
    <row r="908" ht="15.75" customHeight="1">
      <c r="B908" s="65"/>
      <c r="C908" s="65"/>
      <c r="D908" s="65"/>
      <c r="E908" s="66"/>
      <c r="F908" s="65"/>
      <c r="G908" s="67"/>
    </row>
    <row r="909" ht="15.75" customHeight="1">
      <c r="B909" s="65"/>
      <c r="C909" s="65"/>
      <c r="D909" s="65"/>
      <c r="E909" s="66"/>
      <c r="F909" s="65"/>
      <c r="G909" s="67"/>
    </row>
    <row r="910" ht="15.75" customHeight="1">
      <c r="B910" s="65"/>
      <c r="C910" s="65"/>
      <c r="D910" s="65"/>
      <c r="E910" s="66"/>
      <c r="F910" s="65"/>
      <c r="G910" s="67"/>
    </row>
    <row r="911" ht="15.75" customHeight="1">
      <c r="B911" s="65"/>
      <c r="C911" s="65"/>
      <c r="D911" s="65"/>
      <c r="E911" s="66"/>
      <c r="F911" s="65"/>
      <c r="G911" s="67"/>
    </row>
    <row r="912" ht="15.75" customHeight="1">
      <c r="B912" s="65"/>
      <c r="C912" s="65"/>
      <c r="D912" s="65"/>
      <c r="E912" s="66"/>
      <c r="F912" s="65"/>
      <c r="G912" s="67"/>
    </row>
    <row r="913" ht="15.75" customHeight="1">
      <c r="B913" s="65"/>
      <c r="C913" s="65"/>
      <c r="D913" s="65"/>
      <c r="E913" s="66"/>
      <c r="F913" s="65"/>
      <c r="G913" s="67"/>
    </row>
    <row r="914" ht="15.75" customHeight="1">
      <c r="B914" s="65"/>
      <c r="C914" s="65"/>
      <c r="D914" s="65"/>
      <c r="E914" s="66"/>
      <c r="F914" s="65"/>
      <c r="G914" s="67"/>
    </row>
    <row r="915" ht="15.75" customHeight="1">
      <c r="B915" s="65"/>
      <c r="C915" s="65"/>
      <c r="D915" s="65"/>
      <c r="E915" s="66"/>
      <c r="F915" s="65"/>
      <c r="G915" s="67"/>
    </row>
    <row r="916" ht="15.75" customHeight="1">
      <c r="B916" s="65"/>
      <c r="C916" s="65"/>
      <c r="D916" s="65"/>
      <c r="E916" s="66"/>
      <c r="F916" s="65"/>
      <c r="G916" s="67"/>
    </row>
    <row r="917" ht="15.75" customHeight="1">
      <c r="B917" s="65"/>
      <c r="C917" s="65"/>
      <c r="D917" s="65"/>
      <c r="E917" s="66"/>
      <c r="F917" s="65"/>
      <c r="G917" s="67"/>
    </row>
    <row r="918" ht="15.75" customHeight="1">
      <c r="B918" s="65"/>
      <c r="C918" s="65"/>
      <c r="D918" s="65"/>
      <c r="E918" s="66"/>
      <c r="F918" s="65"/>
      <c r="G918" s="67"/>
    </row>
    <row r="919" ht="15.75" customHeight="1">
      <c r="B919" s="65"/>
      <c r="C919" s="65"/>
      <c r="D919" s="65"/>
      <c r="E919" s="66"/>
      <c r="F919" s="65"/>
      <c r="G919" s="67"/>
    </row>
    <row r="920" ht="15.75" customHeight="1">
      <c r="B920" s="65"/>
      <c r="C920" s="65"/>
      <c r="D920" s="65"/>
      <c r="E920" s="66"/>
      <c r="F920" s="65"/>
      <c r="G920" s="67"/>
    </row>
    <row r="921" ht="15.75" customHeight="1">
      <c r="B921" s="65"/>
      <c r="C921" s="65"/>
      <c r="D921" s="65"/>
      <c r="E921" s="66"/>
      <c r="F921" s="65"/>
      <c r="G921" s="67"/>
    </row>
    <row r="922" ht="15.75" customHeight="1">
      <c r="B922" s="65"/>
      <c r="C922" s="65"/>
      <c r="D922" s="65"/>
      <c r="E922" s="66"/>
      <c r="F922" s="65"/>
      <c r="G922" s="67"/>
    </row>
    <row r="923" ht="15.75" customHeight="1">
      <c r="B923" s="65"/>
      <c r="C923" s="65"/>
      <c r="D923" s="65"/>
      <c r="E923" s="66"/>
      <c r="F923" s="65"/>
      <c r="G923" s="67"/>
    </row>
    <row r="924" ht="15.75" customHeight="1">
      <c r="B924" s="65"/>
      <c r="C924" s="65"/>
      <c r="D924" s="65"/>
      <c r="E924" s="66"/>
      <c r="F924" s="65"/>
      <c r="G924" s="67"/>
    </row>
    <row r="925" ht="15.75" customHeight="1">
      <c r="B925" s="65"/>
      <c r="C925" s="65"/>
      <c r="D925" s="65"/>
      <c r="E925" s="66"/>
      <c r="F925" s="65"/>
      <c r="G925" s="67"/>
    </row>
    <row r="926" ht="15.75" customHeight="1">
      <c r="B926" s="65"/>
      <c r="C926" s="65"/>
      <c r="D926" s="65"/>
      <c r="E926" s="66"/>
      <c r="F926" s="65"/>
      <c r="G926" s="67"/>
    </row>
    <row r="927" ht="15.75" customHeight="1">
      <c r="B927" s="65"/>
      <c r="C927" s="65"/>
      <c r="D927" s="65"/>
      <c r="E927" s="66"/>
      <c r="F927" s="65"/>
      <c r="G927" s="67"/>
    </row>
    <row r="928" ht="15.75" customHeight="1">
      <c r="B928" s="65"/>
      <c r="C928" s="65"/>
      <c r="D928" s="65"/>
      <c r="E928" s="66"/>
      <c r="F928" s="65"/>
      <c r="G928" s="67"/>
    </row>
    <row r="929" ht="15.75" customHeight="1">
      <c r="B929" s="65"/>
      <c r="C929" s="65"/>
      <c r="D929" s="65"/>
      <c r="E929" s="66"/>
      <c r="F929" s="65"/>
      <c r="G929" s="67"/>
    </row>
    <row r="930" ht="15.75" customHeight="1">
      <c r="B930" s="65"/>
      <c r="C930" s="65"/>
      <c r="D930" s="65"/>
      <c r="E930" s="66"/>
      <c r="F930" s="65"/>
      <c r="G930" s="67"/>
    </row>
    <row r="931" ht="15.75" customHeight="1">
      <c r="B931" s="65"/>
      <c r="C931" s="65"/>
      <c r="D931" s="65"/>
      <c r="E931" s="66"/>
      <c r="F931" s="65"/>
      <c r="G931" s="67"/>
    </row>
    <row r="932" ht="15.75" customHeight="1">
      <c r="B932" s="65"/>
      <c r="C932" s="65"/>
      <c r="D932" s="65"/>
      <c r="E932" s="66"/>
      <c r="F932" s="65"/>
      <c r="G932" s="67"/>
    </row>
    <row r="933" ht="15.75" customHeight="1">
      <c r="B933" s="65"/>
      <c r="C933" s="65"/>
      <c r="D933" s="65"/>
      <c r="E933" s="66"/>
      <c r="F933" s="65"/>
      <c r="G933" s="67"/>
    </row>
    <row r="934" ht="15.75" customHeight="1">
      <c r="B934" s="65"/>
      <c r="C934" s="65"/>
      <c r="D934" s="65"/>
      <c r="E934" s="66"/>
      <c r="F934" s="65"/>
      <c r="G934" s="67"/>
    </row>
    <row r="935" ht="15.75" customHeight="1">
      <c r="B935" s="65"/>
      <c r="C935" s="65"/>
      <c r="D935" s="65"/>
      <c r="E935" s="66"/>
      <c r="F935" s="65"/>
      <c r="G935" s="67"/>
    </row>
    <row r="936" ht="15.75" customHeight="1">
      <c r="B936" s="65"/>
      <c r="C936" s="65"/>
      <c r="D936" s="65"/>
      <c r="E936" s="66"/>
      <c r="F936" s="65"/>
      <c r="G936" s="67"/>
    </row>
    <row r="937" ht="15.75" customHeight="1">
      <c r="B937" s="65"/>
      <c r="C937" s="65"/>
      <c r="D937" s="65"/>
      <c r="E937" s="66"/>
      <c r="F937" s="65"/>
      <c r="G937" s="67"/>
    </row>
    <row r="938" ht="15.75" customHeight="1">
      <c r="B938" s="65"/>
      <c r="C938" s="65"/>
      <c r="D938" s="65"/>
      <c r="E938" s="66"/>
      <c r="F938" s="65"/>
      <c r="G938" s="67"/>
    </row>
    <row r="939" ht="15.75" customHeight="1">
      <c r="B939" s="65"/>
      <c r="C939" s="65"/>
      <c r="D939" s="65"/>
      <c r="E939" s="66"/>
      <c r="F939" s="65"/>
      <c r="G939" s="67"/>
    </row>
    <row r="940" ht="15.75" customHeight="1">
      <c r="B940" s="65"/>
      <c r="C940" s="65"/>
      <c r="D940" s="65"/>
      <c r="E940" s="66"/>
      <c r="F940" s="65"/>
      <c r="G940" s="67"/>
    </row>
    <row r="941" ht="15.75" customHeight="1">
      <c r="B941" s="65"/>
      <c r="C941" s="65"/>
      <c r="D941" s="65"/>
      <c r="E941" s="66"/>
      <c r="F941" s="65"/>
      <c r="G941" s="67"/>
    </row>
    <row r="942" ht="15.75" customHeight="1">
      <c r="B942" s="65"/>
      <c r="C942" s="65"/>
      <c r="D942" s="65"/>
      <c r="E942" s="66"/>
      <c r="F942" s="65"/>
      <c r="G942" s="67"/>
    </row>
    <row r="943" ht="15.75" customHeight="1">
      <c r="B943" s="65"/>
      <c r="C943" s="65"/>
      <c r="D943" s="65"/>
      <c r="E943" s="66"/>
      <c r="F943" s="65"/>
      <c r="G943" s="67"/>
    </row>
    <row r="944" ht="15.75" customHeight="1">
      <c r="B944" s="65"/>
      <c r="C944" s="65"/>
      <c r="D944" s="65"/>
      <c r="E944" s="66"/>
      <c r="F944" s="65"/>
      <c r="G944" s="67"/>
    </row>
    <row r="945" ht="15.75" customHeight="1">
      <c r="B945" s="65"/>
      <c r="C945" s="65"/>
      <c r="D945" s="65"/>
      <c r="E945" s="66"/>
      <c r="F945" s="65"/>
      <c r="G945" s="67"/>
    </row>
    <row r="946" ht="15.75" customHeight="1">
      <c r="B946" s="65"/>
      <c r="C946" s="65"/>
      <c r="D946" s="65"/>
      <c r="E946" s="66"/>
      <c r="F946" s="65"/>
      <c r="G946" s="67"/>
    </row>
    <row r="947" ht="15.75" customHeight="1">
      <c r="B947" s="65"/>
      <c r="C947" s="65"/>
      <c r="D947" s="65"/>
      <c r="E947" s="66"/>
      <c r="F947" s="65"/>
      <c r="G947" s="67"/>
    </row>
    <row r="948" ht="15.75" customHeight="1">
      <c r="B948" s="65"/>
      <c r="C948" s="65"/>
      <c r="D948" s="65"/>
      <c r="E948" s="66"/>
      <c r="F948" s="65"/>
      <c r="G948" s="67"/>
    </row>
    <row r="949" ht="15.75" customHeight="1">
      <c r="B949" s="65"/>
      <c r="C949" s="65"/>
      <c r="D949" s="65"/>
      <c r="E949" s="66"/>
      <c r="F949" s="65"/>
      <c r="G949" s="67"/>
    </row>
    <row r="950" ht="15.75" customHeight="1">
      <c r="B950" s="65"/>
      <c r="C950" s="65"/>
      <c r="D950" s="65"/>
      <c r="E950" s="66"/>
      <c r="F950" s="65"/>
      <c r="G950" s="67"/>
    </row>
    <row r="951" ht="15.75" customHeight="1">
      <c r="B951" s="65"/>
      <c r="C951" s="65"/>
      <c r="D951" s="65"/>
      <c r="E951" s="66"/>
      <c r="F951" s="65"/>
      <c r="G951" s="67"/>
    </row>
    <row r="952" ht="15.75" customHeight="1">
      <c r="B952" s="65"/>
      <c r="C952" s="65"/>
      <c r="D952" s="65"/>
      <c r="E952" s="66"/>
      <c r="F952" s="65"/>
      <c r="G952" s="67"/>
    </row>
    <row r="953" ht="15.75" customHeight="1">
      <c r="B953" s="65"/>
      <c r="C953" s="65"/>
      <c r="D953" s="65"/>
      <c r="E953" s="66"/>
      <c r="F953" s="65"/>
      <c r="G953" s="67"/>
    </row>
    <row r="954" ht="15.75" customHeight="1">
      <c r="B954" s="65"/>
      <c r="C954" s="65"/>
      <c r="D954" s="65"/>
      <c r="E954" s="66"/>
      <c r="F954" s="65"/>
      <c r="G954" s="67"/>
    </row>
    <row r="955" ht="15.75" customHeight="1">
      <c r="B955" s="65"/>
      <c r="C955" s="65"/>
      <c r="D955" s="65"/>
      <c r="E955" s="66"/>
      <c r="F955" s="65"/>
      <c r="G955" s="67"/>
    </row>
    <row r="956" ht="15.75" customHeight="1">
      <c r="B956" s="65"/>
      <c r="C956" s="65"/>
      <c r="D956" s="65"/>
      <c r="E956" s="66"/>
      <c r="F956" s="65"/>
      <c r="G956" s="67"/>
    </row>
    <row r="957" ht="15.75" customHeight="1">
      <c r="B957" s="65"/>
      <c r="C957" s="65"/>
      <c r="D957" s="65"/>
      <c r="E957" s="66"/>
      <c r="F957" s="65"/>
      <c r="G957" s="67"/>
    </row>
    <row r="958" ht="15.75" customHeight="1">
      <c r="B958" s="65"/>
      <c r="C958" s="65"/>
      <c r="D958" s="65"/>
      <c r="E958" s="66"/>
      <c r="F958" s="65"/>
      <c r="G958" s="67"/>
    </row>
    <row r="959" ht="15.75" customHeight="1">
      <c r="B959" s="65"/>
      <c r="C959" s="65"/>
      <c r="D959" s="65"/>
      <c r="E959" s="66"/>
      <c r="F959" s="65"/>
      <c r="G959" s="67"/>
    </row>
    <row r="960" ht="15.75" customHeight="1">
      <c r="B960" s="65"/>
      <c r="C960" s="65"/>
      <c r="D960" s="65"/>
      <c r="E960" s="66"/>
      <c r="F960" s="65"/>
      <c r="G960" s="67"/>
    </row>
    <row r="961" ht="15.75" customHeight="1">
      <c r="B961" s="65"/>
      <c r="C961" s="65"/>
      <c r="D961" s="65"/>
      <c r="E961" s="66"/>
      <c r="F961" s="65"/>
      <c r="G961" s="67"/>
    </row>
    <row r="962" ht="15.75" customHeight="1">
      <c r="B962" s="65"/>
      <c r="C962" s="65"/>
      <c r="D962" s="65"/>
      <c r="E962" s="66"/>
      <c r="F962" s="65"/>
      <c r="G962" s="67"/>
    </row>
    <row r="963" ht="15.75" customHeight="1">
      <c r="B963" s="65"/>
      <c r="C963" s="65"/>
      <c r="D963" s="65"/>
      <c r="E963" s="66"/>
      <c r="F963" s="65"/>
      <c r="G963" s="67"/>
    </row>
    <row r="964" ht="15.75" customHeight="1">
      <c r="B964" s="65"/>
      <c r="C964" s="65"/>
      <c r="D964" s="65"/>
      <c r="E964" s="66"/>
      <c r="F964" s="65"/>
      <c r="G964" s="67"/>
    </row>
    <row r="965" ht="15.75" customHeight="1">
      <c r="B965" s="65"/>
      <c r="C965" s="65"/>
      <c r="D965" s="65"/>
      <c r="E965" s="66"/>
      <c r="F965" s="65"/>
      <c r="G965" s="67"/>
    </row>
    <row r="966" ht="15.75" customHeight="1">
      <c r="B966" s="65"/>
      <c r="C966" s="65"/>
      <c r="D966" s="65"/>
      <c r="E966" s="66"/>
      <c r="F966" s="65"/>
      <c r="G966" s="67"/>
    </row>
    <row r="967" ht="15.75" customHeight="1">
      <c r="B967" s="65"/>
      <c r="C967" s="65"/>
      <c r="D967" s="65"/>
      <c r="E967" s="66"/>
      <c r="F967" s="65"/>
      <c r="G967" s="67"/>
    </row>
    <row r="968" ht="15.75" customHeight="1">
      <c r="B968" s="65"/>
      <c r="C968" s="65"/>
      <c r="D968" s="65"/>
      <c r="E968" s="66"/>
      <c r="F968" s="65"/>
      <c r="G968" s="67"/>
    </row>
    <row r="969" ht="15.75" customHeight="1">
      <c r="B969" s="65"/>
      <c r="C969" s="65"/>
      <c r="D969" s="65"/>
      <c r="E969" s="66"/>
      <c r="F969" s="65"/>
      <c r="G969" s="67"/>
    </row>
    <row r="970" ht="15.75" customHeight="1">
      <c r="B970" s="65"/>
      <c r="C970" s="65"/>
      <c r="D970" s="65"/>
      <c r="E970" s="66"/>
      <c r="F970" s="65"/>
      <c r="G970" s="67"/>
    </row>
    <row r="971" ht="15.75" customHeight="1">
      <c r="B971" s="65"/>
      <c r="C971" s="65"/>
      <c r="D971" s="65"/>
      <c r="E971" s="66"/>
      <c r="F971" s="65"/>
      <c r="G971" s="67"/>
    </row>
    <row r="972" ht="15.75" customHeight="1">
      <c r="B972" s="65"/>
      <c r="C972" s="65"/>
      <c r="D972" s="65"/>
      <c r="E972" s="66"/>
      <c r="F972" s="65"/>
      <c r="G972" s="67"/>
    </row>
    <row r="973" ht="15.75" customHeight="1">
      <c r="B973" s="65"/>
      <c r="C973" s="65"/>
      <c r="D973" s="65"/>
      <c r="E973" s="66"/>
      <c r="F973" s="65"/>
      <c r="G973" s="67"/>
    </row>
    <row r="974" ht="15.75" customHeight="1">
      <c r="B974" s="65"/>
      <c r="C974" s="65"/>
      <c r="D974" s="65"/>
      <c r="E974" s="66"/>
      <c r="F974" s="65"/>
      <c r="G974" s="67"/>
    </row>
    <row r="975" ht="15.75" customHeight="1">
      <c r="B975" s="65"/>
      <c r="C975" s="65"/>
      <c r="D975" s="65"/>
      <c r="E975" s="66"/>
      <c r="F975" s="65"/>
      <c r="G975" s="67"/>
    </row>
    <row r="976" ht="15.75" customHeight="1">
      <c r="B976" s="65"/>
      <c r="C976" s="65"/>
      <c r="D976" s="65"/>
      <c r="E976" s="66"/>
      <c r="F976" s="65"/>
      <c r="G976" s="67"/>
    </row>
    <row r="977" ht="15.75" customHeight="1">
      <c r="B977" s="65"/>
      <c r="C977" s="65"/>
      <c r="D977" s="65"/>
      <c r="E977" s="66"/>
      <c r="F977" s="65"/>
      <c r="G977" s="67"/>
    </row>
    <row r="978" ht="15.75" customHeight="1">
      <c r="B978" s="65"/>
      <c r="C978" s="65"/>
      <c r="D978" s="65"/>
      <c r="E978" s="66"/>
      <c r="F978" s="65"/>
      <c r="G978" s="67"/>
    </row>
    <row r="979" ht="15.75" customHeight="1">
      <c r="B979" s="65"/>
      <c r="C979" s="65"/>
      <c r="D979" s="65"/>
      <c r="E979" s="66"/>
      <c r="F979" s="65"/>
      <c r="G979" s="67"/>
    </row>
    <row r="980" ht="15.75" customHeight="1">
      <c r="B980" s="65"/>
      <c r="C980" s="65"/>
      <c r="D980" s="65"/>
      <c r="E980" s="66"/>
      <c r="F980" s="65"/>
      <c r="G980" s="67"/>
    </row>
    <row r="981" ht="15.75" customHeight="1">
      <c r="B981" s="65"/>
      <c r="C981" s="65"/>
      <c r="D981" s="65"/>
      <c r="E981" s="66"/>
      <c r="F981" s="65"/>
      <c r="G981" s="67"/>
    </row>
    <row r="982" ht="15.75" customHeight="1">
      <c r="B982" s="65"/>
      <c r="C982" s="65"/>
      <c r="D982" s="65"/>
      <c r="E982" s="66"/>
      <c r="F982" s="65"/>
      <c r="G982" s="67"/>
    </row>
    <row r="983" ht="15.75" customHeight="1">
      <c r="B983" s="65"/>
      <c r="C983" s="65"/>
      <c r="D983" s="65"/>
      <c r="E983" s="66"/>
      <c r="F983" s="65"/>
      <c r="G983" s="67"/>
    </row>
    <row r="984" ht="15.75" customHeight="1">
      <c r="B984" s="65"/>
      <c r="C984" s="65"/>
      <c r="D984" s="65"/>
      <c r="E984" s="66"/>
      <c r="F984" s="65"/>
      <c r="G984" s="67"/>
    </row>
    <row r="985" ht="15.75" customHeight="1">
      <c r="B985" s="65"/>
      <c r="C985" s="65"/>
      <c r="D985" s="65"/>
      <c r="E985" s="66"/>
      <c r="F985" s="65"/>
      <c r="G985" s="67"/>
    </row>
    <row r="986" ht="15.75" customHeight="1">
      <c r="B986" s="65"/>
      <c r="C986" s="65"/>
      <c r="D986" s="65"/>
      <c r="E986" s="66"/>
      <c r="F986" s="65"/>
      <c r="G986" s="67"/>
    </row>
    <row r="987" ht="15.75" customHeight="1">
      <c r="B987" s="65"/>
      <c r="C987" s="65"/>
      <c r="D987" s="65"/>
      <c r="E987" s="66"/>
      <c r="F987" s="65"/>
      <c r="G987" s="67"/>
    </row>
    <row r="988" ht="15.75" customHeight="1">
      <c r="B988" s="65"/>
      <c r="C988" s="65"/>
      <c r="D988" s="65"/>
      <c r="E988" s="66"/>
      <c r="F988" s="65"/>
      <c r="G988" s="67"/>
    </row>
    <row r="989" ht="15.75" customHeight="1">
      <c r="B989" s="65"/>
      <c r="C989" s="65"/>
      <c r="D989" s="65"/>
      <c r="E989" s="66"/>
      <c r="F989" s="65"/>
      <c r="G989" s="67"/>
    </row>
    <row r="990" ht="15.75" customHeight="1">
      <c r="B990" s="65"/>
      <c r="C990" s="65"/>
      <c r="D990" s="65"/>
      <c r="E990" s="66"/>
      <c r="F990" s="65"/>
      <c r="G990" s="67"/>
    </row>
    <row r="991" ht="15.75" customHeight="1">
      <c r="B991" s="65"/>
      <c r="C991" s="65"/>
      <c r="D991" s="65"/>
      <c r="E991" s="66"/>
      <c r="F991" s="65"/>
      <c r="G991" s="67"/>
    </row>
    <row r="992" ht="15.75" customHeight="1">
      <c r="B992" s="65"/>
      <c r="C992" s="65"/>
      <c r="D992" s="65"/>
      <c r="E992" s="66"/>
      <c r="F992" s="65"/>
      <c r="G992" s="67"/>
    </row>
    <row r="993" ht="15.75" customHeight="1">
      <c r="B993" s="65"/>
      <c r="C993" s="65"/>
      <c r="D993" s="65"/>
      <c r="E993" s="66"/>
      <c r="F993" s="65"/>
      <c r="G993" s="67"/>
    </row>
  </sheetData>
  <autoFilter ref="$C$1:$C$993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43"/>
    <col customWidth="1" min="2" max="2" width="41.0"/>
    <col customWidth="1" min="3" max="3" width="14.86"/>
    <col customWidth="1" min="4" max="4" width="24.71"/>
    <col customWidth="1" min="5" max="5" width="56.43"/>
    <col customWidth="1" min="6" max="6" width="39.14"/>
    <col customWidth="1" min="7" max="7" width="88.43"/>
    <col customWidth="1" min="8" max="8" width="36.57"/>
    <col customWidth="1" min="9" max="26" width="11.0"/>
  </cols>
  <sheetData>
    <row r="1">
      <c r="A1" s="20" t="s">
        <v>140</v>
      </c>
      <c r="B1" s="68" t="s">
        <v>141</v>
      </c>
      <c r="C1" s="68" t="s">
        <v>142</v>
      </c>
      <c r="D1" s="68" t="s">
        <v>143</v>
      </c>
      <c r="E1" s="69" t="s">
        <v>144</v>
      </c>
      <c r="F1" s="70" t="s">
        <v>145</v>
      </c>
      <c r="G1" s="71" t="s">
        <v>146</v>
      </c>
      <c r="H1" s="20" t="s">
        <v>147</v>
      </c>
    </row>
    <row r="2" ht="22.5" customHeight="1">
      <c r="A2" s="62" t="s">
        <v>252</v>
      </c>
      <c r="B2" s="26">
        <v>5.5823022008E11</v>
      </c>
      <c r="C2" s="26" t="s">
        <v>248</v>
      </c>
      <c r="D2" s="26" t="s">
        <v>249</v>
      </c>
      <c r="E2" s="27" t="s">
        <v>2225</v>
      </c>
      <c r="F2" s="26" t="s">
        <v>182</v>
      </c>
      <c r="G2" s="25" t="s">
        <v>253</v>
      </c>
      <c r="H2" s="25" t="s">
        <v>246</v>
      </c>
    </row>
    <row r="3" ht="22.5" customHeight="1">
      <c r="A3" s="39" t="s">
        <v>2226</v>
      </c>
      <c r="B3" s="31">
        <v>5.54732883773E11</v>
      </c>
      <c r="C3" s="31" t="s">
        <v>160</v>
      </c>
      <c r="D3" s="31" t="s">
        <v>260</v>
      </c>
      <c r="E3" s="32" t="s">
        <v>2227</v>
      </c>
      <c r="F3" s="31" t="s">
        <v>151</v>
      </c>
      <c r="G3" s="33" t="s">
        <v>1209</v>
      </c>
      <c r="H3" s="26"/>
    </row>
    <row r="4" ht="22.5" customHeight="1">
      <c r="A4" s="107" t="s">
        <v>296</v>
      </c>
      <c r="B4" s="26">
        <v>5.573999312785E12</v>
      </c>
      <c r="C4" s="26" t="s">
        <v>180</v>
      </c>
      <c r="D4" s="26" t="s">
        <v>290</v>
      </c>
      <c r="E4" s="27" t="s">
        <v>2225</v>
      </c>
      <c r="F4" s="26" t="s">
        <v>151</v>
      </c>
      <c r="G4" s="25" t="s">
        <v>297</v>
      </c>
      <c r="H4" s="29"/>
    </row>
    <row r="5" ht="22.5" customHeight="1">
      <c r="A5" s="28" t="s">
        <v>2228</v>
      </c>
      <c r="B5" s="26">
        <v>5.521976128896E12</v>
      </c>
      <c r="C5" s="26" t="s">
        <v>149</v>
      </c>
      <c r="D5" s="26" t="s">
        <v>624</v>
      </c>
      <c r="E5" s="27" t="s">
        <v>2229</v>
      </c>
      <c r="F5" s="26" t="s">
        <v>151</v>
      </c>
      <c r="G5" s="25" t="s">
        <v>2230</v>
      </c>
      <c r="H5" s="48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22.5" customHeight="1">
      <c r="A6" s="28" t="s">
        <v>2231</v>
      </c>
      <c r="B6" s="26">
        <v>5.53141013616E11</v>
      </c>
      <c r="C6" s="26" t="s">
        <v>166</v>
      </c>
      <c r="D6" s="61" t="s">
        <v>353</v>
      </c>
      <c r="E6" s="27" t="s">
        <v>2232</v>
      </c>
      <c r="F6" s="26" t="s">
        <v>1607</v>
      </c>
      <c r="G6" s="25" t="s">
        <v>2233</v>
      </c>
      <c r="H6" s="29"/>
    </row>
    <row r="7" ht="22.5" customHeight="1">
      <c r="A7" s="62" t="s">
        <v>2234</v>
      </c>
      <c r="B7" s="26" t="s">
        <v>2235</v>
      </c>
      <c r="C7" s="26" t="s">
        <v>205</v>
      </c>
      <c r="D7" s="26" t="s">
        <v>206</v>
      </c>
      <c r="E7" s="27" t="s">
        <v>2236</v>
      </c>
      <c r="F7" s="26" t="s">
        <v>2237</v>
      </c>
      <c r="G7" s="25" t="s">
        <v>2238</v>
      </c>
      <c r="H7" s="26" t="s">
        <v>2239</v>
      </c>
    </row>
    <row r="8" ht="22.5" customHeight="1">
      <c r="A8" s="28" t="s">
        <v>2240</v>
      </c>
      <c r="B8" s="26" t="s">
        <v>2241</v>
      </c>
      <c r="C8" s="26" t="s">
        <v>205</v>
      </c>
      <c r="D8" s="26" t="s">
        <v>206</v>
      </c>
      <c r="E8" s="27" t="s">
        <v>2236</v>
      </c>
      <c r="F8" s="26" t="s">
        <v>2237</v>
      </c>
      <c r="G8" s="25" t="s">
        <v>2242</v>
      </c>
      <c r="H8" s="26" t="s">
        <v>2239</v>
      </c>
    </row>
    <row r="9" ht="22.5" customHeight="1">
      <c r="A9" s="28" t="s">
        <v>2243</v>
      </c>
      <c r="B9" s="26">
        <v>5.531998331703E12</v>
      </c>
      <c r="C9" s="26" t="s">
        <v>166</v>
      </c>
      <c r="D9" s="26" t="s">
        <v>353</v>
      </c>
      <c r="E9" s="27" t="s">
        <v>2244</v>
      </c>
      <c r="F9" s="26" t="s">
        <v>2237</v>
      </c>
      <c r="G9" s="25" t="s">
        <v>2245</v>
      </c>
      <c r="H9" s="26" t="s">
        <v>2239</v>
      </c>
    </row>
    <row r="10" ht="22.5" customHeight="1">
      <c r="A10" s="28" t="s">
        <v>2246</v>
      </c>
      <c r="B10" s="26">
        <v>6.1996887414E10</v>
      </c>
      <c r="C10" s="26" t="s">
        <v>963</v>
      </c>
      <c r="D10" s="26" t="s">
        <v>837</v>
      </c>
      <c r="E10" s="27" t="s">
        <v>2232</v>
      </c>
      <c r="F10" s="26" t="s">
        <v>225</v>
      </c>
      <c r="G10" s="25" t="s">
        <v>2247</v>
      </c>
      <c r="H10" s="52" t="s">
        <v>2248</v>
      </c>
    </row>
    <row r="11" ht="22.5" customHeight="1">
      <c r="A11" s="28" t="s">
        <v>2249</v>
      </c>
      <c r="B11" s="26">
        <v>5.58586065088E11</v>
      </c>
      <c r="C11" s="26" t="s">
        <v>205</v>
      </c>
      <c r="D11" s="26" t="s">
        <v>206</v>
      </c>
      <c r="E11" s="27" t="s">
        <v>2195</v>
      </c>
      <c r="F11" s="26" t="s">
        <v>2237</v>
      </c>
      <c r="G11" s="25" t="s">
        <v>2250</v>
      </c>
      <c r="H11" s="26" t="s">
        <v>2239</v>
      </c>
    </row>
    <row r="12" ht="22.5" customHeight="1">
      <c r="A12" s="28" t="s">
        <v>2251</v>
      </c>
      <c r="B12" s="26">
        <v>5.511976799844E12</v>
      </c>
      <c r="C12" s="26" t="s">
        <v>155</v>
      </c>
      <c r="D12" s="26" t="s">
        <v>156</v>
      </c>
      <c r="E12" s="27" t="s">
        <v>2232</v>
      </c>
      <c r="F12" s="26"/>
      <c r="G12" s="25" t="s">
        <v>2252</v>
      </c>
      <c r="H12" s="26"/>
    </row>
    <row r="13" ht="22.5" customHeight="1">
      <c r="A13" s="28" t="s">
        <v>2253</v>
      </c>
      <c r="B13" s="26">
        <v>5.511977910644E12</v>
      </c>
      <c r="C13" s="26" t="s">
        <v>155</v>
      </c>
      <c r="D13" s="26" t="s">
        <v>156</v>
      </c>
      <c r="E13" s="27" t="s">
        <v>2254</v>
      </c>
      <c r="F13" s="26" t="s">
        <v>2255</v>
      </c>
      <c r="G13" s="25" t="s">
        <v>2256</v>
      </c>
      <c r="H13" s="29"/>
    </row>
    <row r="14" ht="22.5" customHeight="1">
      <c r="A14" s="25" t="s">
        <v>2257</v>
      </c>
      <c r="B14" s="26" t="s">
        <v>2258</v>
      </c>
      <c r="C14" s="26" t="s">
        <v>155</v>
      </c>
      <c r="D14" s="26" t="s">
        <v>156</v>
      </c>
      <c r="E14" s="27" t="s">
        <v>2259</v>
      </c>
      <c r="F14" s="26" t="s">
        <v>2237</v>
      </c>
      <c r="G14" s="62" t="s">
        <v>2260</v>
      </c>
      <c r="H14" s="29"/>
    </row>
    <row r="15" ht="22.5" customHeight="1">
      <c r="A15" s="25" t="s">
        <v>2261</v>
      </c>
      <c r="B15" s="26">
        <v>5.51198286676E12</v>
      </c>
      <c r="C15" s="26" t="s">
        <v>155</v>
      </c>
      <c r="D15" s="26" t="s">
        <v>156</v>
      </c>
      <c r="E15" s="27" t="s">
        <v>2232</v>
      </c>
      <c r="F15" s="26" t="s">
        <v>182</v>
      </c>
      <c r="G15" s="25" t="s">
        <v>2262</v>
      </c>
      <c r="H15" s="29"/>
    </row>
    <row r="16" ht="22.5" customHeight="1">
      <c r="A16" s="25" t="s">
        <v>1302</v>
      </c>
      <c r="B16" s="29">
        <f>+554720331774</f>
        <v>554720331774</v>
      </c>
      <c r="C16" s="31" t="s">
        <v>160</v>
      </c>
      <c r="D16" s="31" t="s">
        <v>811</v>
      </c>
      <c r="E16" s="32" t="s">
        <v>2263</v>
      </c>
      <c r="F16" s="31" t="s">
        <v>151</v>
      </c>
      <c r="G16" s="33" t="s">
        <v>1304</v>
      </c>
      <c r="H16" s="29"/>
    </row>
    <row r="17" ht="22.5" customHeight="1">
      <c r="A17" s="25" t="s">
        <v>2264</v>
      </c>
      <c r="B17" s="26">
        <v>5.57336349972E11</v>
      </c>
      <c r="C17" s="26" t="s">
        <v>180</v>
      </c>
      <c r="D17" s="26" t="s">
        <v>375</v>
      </c>
      <c r="E17" s="27" t="s">
        <v>2236</v>
      </c>
      <c r="F17" s="26" t="s">
        <v>151</v>
      </c>
      <c r="G17" s="25" t="s">
        <v>379</v>
      </c>
      <c r="H17" s="43" t="s">
        <v>272</v>
      </c>
    </row>
    <row r="18" ht="22.5" customHeight="1">
      <c r="A18" s="25" t="s">
        <v>380</v>
      </c>
      <c r="B18" s="26">
        <v>5.54734553283E11</v>
      </c>
      <c r="C18" s="26" t="s">
        <v>160</v>
      </c>
      <c r="D18" s="26" t="s">
        <v>381</v>
      </c>
      <c r="E18" s="27" t="s">
        <v>2223</v>
      </c>
      <c r="F18" s="26" t="s">
        <v>151</v>
      </c>
      <c r="G18" s="25" t="s">
        <v>382</v>
      </c>
      <c r="H18" s="43" t="s">
        <v>272</v>
      </c>
    </row>
    <row r="19" ht="22.5" customHeight="1">
      <c r="A19" s="25" t="s">
        <v>1356</v>
      </c>
      <c r="B19" s="31">
        <v>5.58131399696E11</v>
      </c>
      <c r="C19" s="31" t="s">
        <v>170</v>
      </c>
      <c r="D19" s="31" t="s">
        <v>171</v>
      </c>
      <c r="E19" s="32" t="s">
        <v>2227</v>
      </c>
      <c r="F19" s="31" t="s">
        <v>151</v>
      </c>
      <c r="G19" s="33" t="s">
        <v>1358</v>
      </c>
      <c r="H19" s="26"/>
    </row>
    <row r="20" ht="22.5" customHeight="1">
      <c r="A20" s="28" t="s">
        <v>415</v>
      </c>
      <c r="B20" s="26">
        <v>5.58132042398E11</v>
      </c>
      <c r="C20" s="26" t="s">
        <v>170</v>
      </c>
      <c r="D20" s="26" t="s">
        <v>171</v>
      </c>
      <c r="E20" s="27" t="s">
        <v>2227</v>
      </c>
      <c r="F20" s="26" t="s">
        <v>196</v>
      </c>
      <c r="G20" s="25" t="s">
        <v>417</v>
      </c>
      <c r="H20" s="26"/>
    </row>
    <row r="21" ht="22.5" customHeight="1">
      <c r="A21" s="25" t="s">
        <v>419</v>
      </c>
      <c r="B21" s="26">
        <v>5.58132996169E11</v>
      </c>
      <c r="C21" s="26" t="s">
        <v>170</v>
      </c>
      <c r="D21" s="26" t="s">
        <v>171</v>
      </c>
      <c r="E21" s="27" t="s">
        <v>2265</v>
      </c>
      <c r="F21" s="26" t="s">
        <v>151</v>
      </c>
      <c r="G21" s="25" t="s">
        <v>420</v>
      </c>
      <c r="H21" s="29"/>
    </row>
    <row r="22" ht="22.5" customHeight="1">
      <c r="A22" s="25" t="s">
        <v>421</v>
      </c>
      <c r="B22" s="26">
        <v>5.58130332627E11</v>
      </c>
      <c r="C22" s="26" t="s">
        <v>170</v>
      </c>
      <c r="D22" s="26" t="s">
        <v>171</v>
      </c>
      <c r="E22" s="27" t="s">
        <v>2266</v>
      </c>
      <c r="F22" s="26" t="s">
        <v>151</v>
      </c>
      <c r="G22" s="25" t="s">
        <v>422</v>
      </c>
      <c r="H22" s="29"/>
    </row>
    <row r="23" ht="22.5" customHeight="1">
      <c r="A23" s="28" t="s">
        <v>423</v>
      </c>
      <c r="B23" s="26">
        <v>5.581997759782E12</v>
      </c>
      <c r="C23" s="26" t="s">
        <v>170</v>
      </c>
      <c r="D23" s="26" t="s">
        <v>171</v>
      </c>
      <c r="E23" s="27" t="s">
        <v>2267</v>
      </c>
      <c r="F23" s="26" t="s">
        <v>151</v>
      </c>
      <c r="G23" s="25" t="s">
        <v>424</v>
      </c>
      <c r="H23" s="29"/>
    </row>
    <row r="24" ht="22.5" customHeight="1">
      <c r="A24" s="28" t="s">
        <v>1362</v>
      </c>
      <c r="B24" s="31">
        <v>5.5813228259E11</v>
      </c>
      <c r="C24" s="31" t="s">
        <v>170</v>
      </c>
      <c r="D24" s="31" t="s">
        <v>171</v>
      </c>
      <c r="E24" s="32" t="s">
        <v>2225</v>
      </c>
      <c r="F24" s="31" t="s">
        <v>151</v>
      </c>
      <c r="G24" s="33" t="s">
        <v>1364</v>
      </c>
      <c r="H24" s="29"/>
    </row>
    <row r="25" ht="22.5" customHeight="1">
      <c r="A25" s="25" t="s">
        <v>1370</v>
      </c>
      <c r="B25" s="31">
        <v>5.54535234343E11</v>
      </c>
      <c r="C25" s="31" t="s">
        <v>194</v>
      </c>
      <c r="D25" s="31" t="s">
        <v>430</v>
      </c>
      <c r="E25" s="32" t="s">
        <v>2268</v>
      </c>
      <c r="F25" s="31" t="s">
        <v>151</v>
      </c>
      <c r="G25" s="33" t="s">
        <v>1372</v>
      </c>
      <c r="H25" s="29"/>
    </row>
    <row r="26" ht="22.5" customHeight="1">
      <c r="A26" s="25" t="s">
        <v>2269</v>
      </c>
      <c r="B26" s="31">
        <v>5.511965515193E12</v>
      </c>
      <c r="C26" s="31" t="s">
        <v>155</v>
      </c>
      <c r="D26" s="31" t="s">
        <v>156</v>
      </c>
      <c r="E26" s="32" t="s">
        <v>2270</v>
      </c>
      <c r="F26" s="26" t="s">
        <v>182</v>
      </c>
      <c r="G26" s="33" t="s">
        <v>2271</v>
      </c>
      <c r="H26" s="29"/>
    </row>
    <row r="27" ht="22.5" customHeight="1">
      <c r="A27" s="25" t="s">
        <v>2272</v>
      </c>
      <c r="B27" s="26" t="s">
        <v>2273</v>
      </c>
      <c r="C27" s="31" t="s">
        <v>194</v>
      </c>
      <c r="D27" s="31" t="s">
        <v>430</v>
      </c>
      <c r="E27" s="32" t="s">
        <v>2270</v>
      </c>
      <c r="F27" s="31" t="s">
        <v>151</v>
      </c>
      <c r="G27" s="33" t="s">
        <v>2271</v>
      </c>
      <c r="H27" s="29"/>
    </row>
    <row r="28" ht="22.5" customHeight="1">
      <c r="A28" s="62" t="s">
        <v>2274</v>
      </c>
      <c r="B28" s="31">
        <v>5.545991220024E12</v>
      </c>
      <c r="C28" s="31" t="s">
        <v>194</v>
      </c>
      <c r="D28" s="31" t="s">
        <v>430</v>
      </c>
      <c r="E28" s="32" t="s">
        <v>2275</v>
      </c>
      <c r="F28" s="31" t="s">
        <v>2237</v>
      </c>
      <c r="G28" s="33" t="s">
        <v>2276</v>
      </c>
      <c r="H28" s="25" t="s">
        <v>2239</v>
      </c>
    </row>
    <row r="29" ht="22.5" customHeight="1">
      <c r="A29" s="25" t="s">
        <v>2277</v>
      </c>
      <c r="B29" s="26" t="s">
        <v>2278</v>
      </c>
      <c r="C29" s="31" t="s">
        <v>180</v>
      </c>
      <c r="D29" s="31" t="s">
        <v>2279</v>
      </c>
      <c r="E29" s="32" t="s">
        <v>2195</v>
      </c>
      <c r="F29" s="31" t="s">
        <v>2280</v>
      </c>
      <c r="G29" s="33" t="s">
        <v>2281</v>
      </c>
      <c r="H29" s="48"/>
    </row>
    <row r="30" ht="22.5" customHeight="1">
      <c r="A30" s="28" t="s">
        <v>2282</v>
      </c>
      <c r="B30" s="31">
        <v>5.571992719732E12</v>
      </c>
      <c r="C30" s="31" t="s">
        <v>180</v>
      </c>
      <c r="D30" s="31" t="s">
        <v>2279</v>
      </c>
      <c r="E30" s="32" t="s">
        <v>2283</v>
      </c>
      <c r="F30" s="31" t="s">
        <v>2237</v>
      </c>
      <c r="G30" s="33" t="s">
        <v>2284</v>
      </c>
      <c r="H30" s="25" t="s">
        <v>2239</v>
      </c>
    </row>
    <row r="31" ht="22.5" customHeight="1">
      <c r="A31" s="25" t="s">
        <v>2285</v>
      </c>
      <c r="B31" s="26">
        <v>5.571984390696E12</v>
      </c>
      <c r="C31" s="31" t="s">
        <v>180</v>
      </c>
      <c r="D31" s="31" t="s">
        <v>2279</v>
      </c>
      <c r="E31" s="32" t="s">
        <v>2286</v>
      </c>
      <c r="F31" s="31" t="s">
        <v>2287</v>
      </c>
      <c r="G31" s="33" t="s">
        <v>2288</v>
      </c>
      <c r="H31" s="26" t="s">
        <v>2289</v>
      </c>
    </row>
    <row r="32" ht="22.5" customHeight="1">
      <c r="A32" s="28" t="s">
        <v>1412</v>
      </c>
      <c r="B32" s="31">
        <v>5.57133540484E11</v>
      </c>
      <c r="C32" s="31" t="s">
        <v>180</v>
      </c>
      <c r="D32" s="31" t="s">
        <v>461</v>
      </c>
      <c r="E32" s="32" t="s">
        <v>2236</v>
      </c>
      <c r="F32" s="31" t="s">
        <v>151</v>
      </c>
      <c r="G32" s="33" t="s">
        <v>1414</v>
      </c>
      <c r="H32" s="29"/>
    </row>
    <row r="33" ht="22.5" customHeight="1">
      <c r="A33" s="25" t="s">
        <v>2290</v>
      </c>
      <c r="B33" s="26">
        <v>5.512992515823E12</v>
      </c>
      <c r="C33" s="31" t="s">
        <v>155</v>
      </c>
      <c r="D33" s="31" t="s">
        <v>476</v>
      </c>
      <c r="E33" s="32" t="s">
        <v>2265</v>
      </c>
      <c r="F33" s="31" t="s">
        <v>151</v>
      </c>
      <c r="G33" s="33" t="s">
        <v>2291</v>
      </c>
      <c r="H33" s="29"/>
    </row>
    <row r="34" ht="22.5" customHeight="1">
      <c r="A34" s="108" t="s">
        <v>2292</v>
      </c>
      <c r="B34" s="26">
        <v>5.51298248099E12</v>
      </c>
      <c r="C34" s="31" t="s">
        <v>155</v>
      </c>
      <c r="D34" s="31" t="s">
        <v>2109</v>
      </c>
      <c r="E34" s="32" t="s">
        <v>2227</v>
      </c>
      <c r="F34" s="31" t="s">
        <v>151</v>
      </c>
      <c r="G34" s="33" t="s">
        <v>2293</v>
      </c>
      <c r="H34" s="29"/>
    </row>
    <row r="35" ht="22.5" customHeight="1">
      <c r="A35" s="25" t="s">
        <v>2294</v>
      </c>
      <c r="B35" s="26">
        <v>5.512991529282E12</v>
      </c>
      <c r="C35" s="31" t="s">
        <v>155</v>
      </c>
      <c r="D35" s="31" t="s">
        <v>498</v>
      </c>
      <c r="E35" s="32" t="s">
        <v>2295</v>
      </c>
      <c r="F35" s="31" t="s">
        <v>151</v>
      </c>
      <c r="G35" s="33" t="s">
        <v>2296</v>
      </c>
      <c r="H35" s="29"/>
    </row>
    <row r="36" ht="22.5" customHeight="1">
      <c r="A36" s="25" t="s">
        <v>533</v>
      </c>
      <c r="B36" s="26">
        <v>5.54837336838E11</v>
      </c>
      <c r="C36" s="26" t="s">
        <v>160</v>
      </c>
      <c r="D36" s="26" t="s">
        <v>327</v>
      </c>
      <c r="E36" s="27" t="s">
        <v>2297</v>
      </c>
      <c r="F36" s="26" t="s">
        <v>151</v>
      </c>
      <c r="G36" s="25" t="s">
        <v>534</v>
      </c>
      <c r="H36" s="29"/>
    </row>
    <row r="37" ht="22.5" customHeight="1">
      <c r="A37" s="25" t="s">
        <v>538</v>
      </c>
      <c r="B37" s="26">
        <v>5.54833040063E11</v>
      </c>
      <c r="C37" s="31" t="s">
        <v>160</v>
      </c>
      <c r="D37" s="31" t="s">
        <v>327</v>
      </c>
      <c r="E37" s="32" t="s">
        <v>2298</v>
      </c>
      <c r="F37" s="31" t="s">
        <v>151</v>
      </c>
      <c r="G37" s="33" t="s">
        <v>539</v>
      </c>
      <c r="H37" s="29"/>
    </row>
    <row r="38" ht="22.5" customHeight="1">
      <c r="A38" s="28" t="s">
        <v>2299</v>
      </c>
      <c r="B38" s="31">
        <v>5.5849616305E11</v>
      </c>
      <c r="C38" s="31" t="s">
        <v>544</v>
      </c>
      <c r="D38" s="31" t="s">
        <v>545</v>
      </c>
      <c r="E38" s="32" t="s">
        <v>2227</v>
      </c>
      <c r="F38" s="31" t="s">
        <v>2280</v>
      </c>
      <c r="G38" s="33" t="s">
        <v>1494</v>
      </c>
      <c r="H38" s="29"/>
    </row>
    <row r="39" ht="22.5" customHeight="1">
      <c r="A39" s="28" t="s">
        <v>1529</v>
      </c>
      <c r="B39" s="31">
        <v>5.588999278916E12</v>
      </c>
      <c r="C39" s="31" t="s">
        <v>205</v>
      </c>
      <c r="D39" s="31" t="s">
        <v>1530</v>
      </c>
      <c r="E39" s="32" t="s">
        <v>2300</v>
      </c>
      <c r="F39" s="31" t="s">
        <v>151</v>
      </c>
      <c r="G39" s="33" t="s">
        <v>1532</v>
      </c>
      <c r="H39" s="29"/>
    </row>
    <row r="40" ht="22.5" customHeight="1">
      <c r="A40" s="25" t="s">
        <v>2301</v>
      </c>
      <c r="B40" s="31">
        <v>5.58138790855E11</v>
      </c>
      <c r="C40" s="31" t="s">
        <v>170</v>
      </c>
      <c r="D40" s="31" t="s">
        <v>579</v>
      </c>
      <c r="E40" s="32" t="s">
        <v>2236</v>
      </c>
      <c r="F40" s="31" t="s">
        <v>151</v>
      </c>
      <c r="G40" s="33" t="s">
        <v>2302</v>
      </c>
      <c r="H40" s="29"/>
    </row>
    <row r="41" ht="22.5" customHeight="1">
      <c r="A41" s="25" t="s">
        <v>2303</v>
      </c>
      <c r="B41" s="31">
        <v>5.521998672162E12</v>
      </c>
      <c r="C41" s="31" t="s">
        <v>149</v>
      </c>
      <c r="D41" s="31" t="s">
        <v>624</v>
      </c>
      <c r="E41" s="32" t="s">
        <v>2304</v>
      </c>
      <c r="F41" s="31" t="s">
        <v>151</v>
      </c>
      <c r="G41" s="33" t="s">
        <v>2305</v>
      </c>
      <c r="H41" s="29"/>
    </row>
    <row r="42" ht="22.5" customHeight="1">
      <c r="A42" s="25" t="s">
        <v>2306</v>
      </c>
      <c r="B42" s="31">
        <v>5.5213979409E11</v>
      </c>
      <c r="C42" s="31" t="s">
        <v>149</v>
      </c>
      <c r="D42" s="31" t="s">
        <v>624</v>
      </c>
      <c r="E42" s="32" t="s">
        <v>2295</v>
      </c>
      <c r="F42" s="31" t="s">
        <v>151</v>
      </c>
      <c r="G42" s="33" t="s">
        <v>2307</v>
      </c>
      <c r="H42" s="29"/>
    </row>
    <row r="43" ht="22.5" customHeight="1">
      <c r="A43" s="25" t="s">
        <v>1577</v>
      </c>
      <c r="B43" s="31">
        <v>5.52135476837E11</v>
      </c>
      <c r="C43" s="31" t="s">
        <v>149</v>
      </c>
      <c r="D43" s="31" t="s">
        <v>624</v>
      </c>
      <c r="E43" s="32" t="s">
        <v>2225</v>
      </c>
      <c r="F43" s="31" t="s">
        <v>151</v>
      </c>
      <c r="G43" s="33" t="s">
        <v>1578</v>
      </c>
      <c r="H43" s="29"/>
    </row>
    <row r="44" ht="22.5" customHeight="1">
      <c r="A44" s="28" t="s">
        <v>2308</v>
      </c>
      <c r="B44" s="31">
        <v>5.52132682076E11</v>
      </c>
      <c r="C44" s="31" t="s">
        <v>149</v>
      </c>
      <c r="D44" s="31" t="s">
        <v>624</v>
      </c>
      <c r="E44" s="32" t="s">
        <v>2309</v>
      </c>
      <c r="F44" s="31" t="s">
        <v>151</v>
      </c>
      <c r="G44" s="33" t="s">
        <v>2310</v>
      </c>
      <c r="H44" s="29"/>
    </row>
    <row r="45" ht="22.5" customHeight="1">
      <c r="A45" s="28" t="s">
        <v>2311</v>
      </c>
      <c r="B45" s="31">
        <v>5.521984855387E12</v>
      </c>
      <c r="C45" s="31" t="s">
        <v>149</v>
      </c>
      <c r="D45" s="31" t="s">
        <v>624</v>
      </c>
      <c r="E45" s="32" t="s">
        <v>2312</v>
      </c>
      <c r="F45" s="31" t="s">
        <v>151</v>
      </c>
      <c r="G45" s="33" t="s">
        <v>2313</v>
      </c>
      <c r="H45" s="29"/>
    </row>
    <row r="46" ht="22.5" customHeight="1">
      <c r="A46" s="33" t="s">
        <v>2314</v>
      </c>
      <c r="B46" s="31">
        <v>5.581994406552E12</v>
      </c>
      <c r="C46" s="31" t="s">
        <v>170</v>
      </c>
      <c r="D46" s="31" t="s">
        <v>2315</v>
      </c>
      <c r="E46" s="32" t="s">
        <v>1613</v>
      </c>
      <c r="F46" s="36"/>
      <c r="G46" s="33" t="s">
        <v>2316</v>
      </c>
      <c r="H46" s="29"/>
    </row>
    <row r="47" ht="22.5" customHeight="1">
      <c r="A47" s="33" t="s">
        <v>2317</v>
      </c>
      <c r="B47" s="31">
        <v>5.57996057113E11</v>
      </c>
      <c r="C47" s="31" t="s">
        <v>242</v>
      </c>
      <c r="D47" s="31" t="s">
        <v>243</v>
      </c>
      <c r="E47" s="32" t="s">
        <v>2268</v>
      </c>
      <c r="F47" s="31" t="s">
        <v>151</v>
      </c>
      <c r="G47" s="33" t="s">
        <v>2318</v>
      </c>
      <c r="H47" s="29"/>
    </row>
    <row r="48" ht="22.5" customHeight="1">
      <c r="A48" s="33" t="s">
        <v>2319</v>
      </c>
      <c r="B48" s="31">
        <v>5.57999011613E11</v>
      </c>
      <c r="C48" s="31" t="s">
        <v>242</v>
      </c>
      <c r="D48" s="31" t="s">
        <v>243</v>
      </c>
      <c r="E48" s="32" t="s">
        <v>2205</v>
      </c>
      <c r="F48" s="31" t="s">
        <v>2237</v>
      </c>
      <c r="G48" s="51" t="s">
        <v>2320</v>
      </c>
      <c r="H48" s="29"/>
    </row>
    <row r="49" ht="22.5" customHeight="1">
      <c r="A49" s="33" t="s">
        <v>2321</v>
      </c>
      <c r="B49" s="31">
        <v>5.57981717357E11</v>
      </c>
      <c r="C49" s="31" t="s">
        <v>242</v>
      </c>
      <c r="D49" s="31" t="s">
        <v>243</v>
      </c>
      <c r="E49" s="32" t="s">
        <v>2322</v>
      </c>
      <c r="F49" s="36"/>
      <c r="G49" s="28" t="s">
        <v>2323</v>
      </c>
      <c r="H49" s="29"/>
    </row>
    <row r="50" ht="22.5" customHeight="1">
      <c r="A50" s="33" t="s">
        <v>2324</v>
      </c>
      <c r="B50" s="31">
        <v>5.579988715543E12</v>
      </c>
      <c r="C50" s="31" t="s">
        <v>242</v>
      </c>
      <c r="D50" s="31" t="s">
        <v>243</v>
      </c>
      <c r="E50" s="32" t="s">
        <v>2322</v>
      </c>
      <c r="F50" s="31" t="s">
        <v>233</v>
      </c>
      <c r="G50" s="28" t="s">
        <v>2325</v>
      </c>
      <c r="H50" s="29"/>
    </row>
    <row r="51" ht="22.5" customHeight="1">
      <c r="A51" s="25" t="s">
        <v>1624</v>
      </c>
      <c r="B51" s="31">
        <v>5.5323224665E11</v>
      </c>
      <c r="C51" s="31" t="s">
        <v>166</v>
      </c>
      <c r="D51" s="31" t="s">
        <v>706</v>
      </c>
      <c r="E51" s="32" t="s">
        <v>2227</v>
      </c>
      <c r="F51" s="31" t="s">
        <v>196</v>
      </c>
      <c r="G51" s="33" t="s">
        <v>1626</v>
      </c>
      <c r="H51" s="29"/>
    </row>
    <row r="52" ht="22.5" customHeight="1">
      <c r="A52" s="25" t="s">
        <v>758</v>
      </c>
      <c r="B52" s="26">
        <v>5.5633026704E11</v>
      </c>
      <c r="C52" s="26" t="s">
        <v>751</v>
      </c>
      <c r="D52" s="26" t="s">
        <v>752</v>
      </c>
      <c r="E52" s="27" t="s">
        <v>2227</v>
      </c>
      <c r="F52" s="26" t="s">
        <v>151</v>
      </c>
      <c r="G52" s="25" t="s">
        <v>759</v>
      </c>
      <c r="H52" s="29"/>
    </row>
    <row r="53" ht="22.5" customHeight="1">
      <c r="A53" s="25" t="s">
        <v>2326</v>
      </c>
      <c r="B53" s="31">
        <v>5.54132574326E11</v>
      </c>
      <c r="C53" s="31" t="s">
        <v>194</v>
      </c>
      <c r="D53" s="31" t="s">
        <v>195</v>
      </c>
      <c r="E53" s="32" t="s">
        <v>2225</v>
      </c>
      <c r="F53" s="31" t="s">
        <v>151</v>
      </c>
      <c r="G53" s="33" t="s">
        <v>2327</v>
      </c>
      <c r="H53" s="29"/>
    </row>
    <row r="54" ht="22.5" customHeight="1">
      <c r="A54" s="25" t="s">
        <v>1793</v>
      </c>
      <c r="B54" s="26">
        <v>5.54130920528E11</v>
      </c>
      <c r="C54" s="26" t="s">
        <v>194</v>
      </c>
      <c r="D54" s="26" t="s">
        <v>195</v>
      </c>
      <c r="E54" s="27" t="s">
        <v>2322</v>
      </c>
      <c r="F54" s="26" t="s">
        <v>151</v>
      </c>
      <c r="G54" s="25" t="s">
        <v>1794</v>
      </c>
      <c r="H54" s="63"/>
    </row>
    <row r="55" ht="22.5" customHeight="1">
      <c r="A55" s="28" t="s">
        <v>819</v>
      </c>
      <c r="B55" s="26">
        <v>5.547991042255E12</v>
      </c>
      <c r="C55" s="26" t="s">
        <v>160</v>
      </c>
      <c r="D55" s="26" t="s">
        <v>811</v>
      </c>
      <c r="E55" s="27" t="s">
        <v>2298</v>
      </c>
      <c r="F55" s="26" t="s">
        <v>151</v>
      </c>
      <c r="G55" s="25" t="s">
        <v>820</v>
      </c>
      <c r="H55" s="63"/>
    </row>
    <row r="56" ht="22.5" customHeight="1">
      <c r="A56" s="25" t="s">
        <v>1839</v>
      </c>
      <c r="B56" s="31">
        <v>5.5613351808E11</v>
      </c>
      <c r="C56" s="31" t="s">
        <v>963</v>
      </c>
      <c r="D56" s="98" t="s">
        <v>837</v>
      </c>
      <c r="E56" s="99" t="s">
        <v>2236</v>
      </c>
      <c r="F56" s="98" t="s">
        <v>151</v>
      </c>
      <c r="G56" s="100" t="s">
        <v>1841</v>
      </c>
      <c r="H56" s="63"/>
    </row>
    <row r="57" ht="22.5" customHeight="1">
      <c r="A57" s="28" t="s">
        <v>844</v>
      </c>
      <c r="B57" s="26">
        <v>5.56139725023E11</v>
      </c>
      <c r="C57" s="26" t="s">
        <v>836</v>
      </c>
      <c r="D57" s="26" t="s">
        <v>837</v>
      </c>
      <c r="E57" s="27" t="s">
        <v>2227</v>
      </c>
      <c r="F57" s="26" t="s">
        <v>151</v>
      </c>
      <c r="G57" s="25" t="s">
        <v>845</v>
      </c>
      <c r="H57" s="63"/>
    </row>
    <row r="58" ht="22.5" customHeight="1">
      <c r="A58" s="33" t="s">
        <v>2328</v>
      </c>
      <c r="B58" s="31">
        <v>5.562991367307E12</v>
      </c>
      <c r="C58" s="31" t="s">
        <v>230</v>
      </c>
      <c r="D58" s="31" t="s">
        <v>2329</v>
      </c>
      <c r="E58" s="32" t="s">
        <v>2265</v>
      </c>
      <c r="F58" s="31" t="s">
        <v>196</v>
      </c>
      <c r="G58" s="33" t="s">
        <v>2330</v>
      </c>
      <c r="H58" s="25" t="s">
        <v>2239</v>
      </c>
    </row>
    <row r="59" ht="22.5" customHeight="1">
      <c r="A59" s="25" t="s">
        <v>1891</v>
      </c>
      <c r="B59" s="26">
        <v>5.527992589047E12</v>
      </c>
      <c r="C59" s="26" t="s">
        <v>212</v>
      </c>
      <c r="D59" s="31" t="s">
        <v>1163</v>
      </c>
      <c r="E59" s="27" t="s">
        <v>2322</v>
      </c>
      <c r="F59" s="26" t="s">
        <v>151</v>
      </c>
      <c r="G59" s="25" t="s">
        <v>1893</v>
      </c>
      <c r="H59" s="63"/>
    </row>
    <row r="60" ht="22.5" customHeight="1">
      <c r="A60" s="25" t="s">
        <v>2331</v>
      </c>
      <c r="B60" s="31">
        <v>5.579999358979E12</v>
      </c>
      <c r="C60" s="31" t="s">
        <v>242</v>
      </c>
      <c r="D60" s="31" t="s">
        <v>2332</v>
      </c>
      <c r="E60" s="32" t="s">
        <v>2225</v>
      </c>
      <c r="F60" s="31" t="s">
        <v>182</v>
      </c>
      <c r="G60" s="33" t="s">
        <v>2333</v>
      </c>
      <c r="H60" s="63"/>
    </row>
    <row r="61" ht="22.5" customHeight="1">
      <c r="A61" s="25" t="s">
        <v>2334</v>
      </c>
      <c r="B61" s="26">
        <v>5.579996645064E12</v>
      </c>
      <c r="C61" s="26" t="s">
        <v>242</v>
      </c>
      <c r="D61" s="26" t="s">
        <v>2332</v>
      </c>
      <c r="E61" s="27" t="s">
        <v>2225</v>
      </c>
      <c r="F61" s="26" t="s">
        <v>151</v>
      </c>
      <c r="G61" s="25" t="s">
        <v>2335</v>
      </c>
      <c r="H61" s="109"/>
    </row>
    <row r="62" ht="22.5" customHeight="1">
      <c r="A62" s="25" t="s">
        <v>2336</v>
      </c>
      <c r="B62" s="26">
        <v>5.592993003838E12</v>
      </c>
      <c r="C62" s="26" t="s">
        <v>1265</v>
      </c>
      <c r="D62" s="26" t="s">
        <v>1266</v>
      </c>
      <c r="E62" s="27" t="s">
        <v>2236</v>
      </c>
      <c r="F62" s="26" t="s">
        <v>151</v>
      </c>
      <c r="G62" s="25" t="s">
        <v>2337</v>
      </c>
      <c r="H62" s="109"/>
    </row>
    <row r="63" ht="22.5" customHeight="1">
      <c r="A63" s="28" t="s">
        <v>2338</v>
      </c>
      <c r="B63" s="26">
        <v>5.596991910944E12</v>
      </c>
      <c r="C63" s="26" t="s">
        <v>701</v>
      </c>
      <c r="D63" s="26" t="s">
        <v>870</v>
      </c>
      <c r="E63" s="27" t="s">
        <v>2339</v>
      </c>
      <c r="F63" s="26" t="s">
        <v>151</v>
      </c>
      <c r="G63" s="25" t="s">
        <v>2340</v>
      </c>
      <c r="H63" s="109"/>
    </row>
    <row r="64" ht="22.5" customHeight="1">
      <c r="A64" s="28" t="s">
        <v>2341</v>
      </c>
      <c r="B64" s="26">
        <v>5.595991350403E12</v>
      </c>
      <c r="C64" s="26" t="s">
        <v>892</v>
      </c>
      <c r="D64" s="26" t="s">
        <v>893</v>
      </c>
      <c r="E64" s="27" t="s">
        <v>2227</v>
      </c>
      <c r="F64" s="26" t="s">
        <v>151</v>
      </c>
      <c r="G64" s="25" t="s">
        <v>2342</v>
      </c>
      <c r="H64" s="109"/>
    </row>
    <row r="65" ht="22.5" customHeight="1">
      <c r="A65" s="25" t="s">
        <v>2343</v>
      </c>
      <c r="B65" s="26">
        <v>5.595991560369E12</v>
      </c>
      <c r="C65" s="26" t="s">
        <v>892</v>
      </c>
      <c r="D65" s="26" t="s">
        <v>893</v>
      </c>
      <c r="E65" s="27" t="s">
        <v>2322</v>
      </c>
      <c r="F65" s="26" t="s">
        <v>151</v>
      </c>
      <c r="G65" s="25" t="s">
        <v>2344</v>
      </c>
      <c r="H65" s="109"/>
    </row>
    <row r="66" ht="22.5" customHeight="1">
      <c r="A66" s="25" t="s">
        <v>2114</v>
      </c>
      <c r="B66" s="26">
        <v>5.51150979642E11</v>
      </c>
      <c r="C66" s="26" t="s">
        <v>155</v>
      </c>
      <c r="D66" s="26" t="s">
        <v>156</v>
      </c>
      <c r="E66" s="27" t="s">
        <v>2195</v>
      </c>
      <c r="F66" s="26" t="s">
        <v>151</v>
      </c>
      <c r="G66" s="25" t="s">
        <v>2116</v>
      </c>
      <c r="H66" s="109"/>
    </row>
    <row r="67" ht="22.5" customHeight="1">
      <c r="A67" s="110" t="s">
        <v>2158</v>
      </c>
      <c r="B67" s="58">
        <v>6.233245266E9</v>
      </c>
      <c r="C67" s="58" t="s">
        <v>230</v>
      </c>
      <c r="D67" s="58" t="s">
        <v>956</v>
      </c>
      <c r="E67" s="59" t="s">
        <v>2265</v>
      </c>
      <c r="F67" s="58" t="s">
        <v>151</v>
      </c>
      <c r="G67" s="43" t="s">
        <v>2160</v>
      </c>
      <c r="H67" s="109"/>
    </row>
    <row r="68" ht="22.5" customHeight="1">
      <c r="A68" s="109"/>
      <c r="B68" s="63"/>
      <c r="C68" s="63"/>
      <c r="D68" s="63"/>
      <c r="E68" s="64"/>
      <c r="F68" s="63"/>
      <c r="G68" s="60"/>
      <c r="H68" s="109"/>
    </row>
    <row r="69" ht="22.5" customHeight="1">
      <c r="A69" s="109"/>
      <c r="B69" s="63"/>
      <c r="C69" s="63"/>
      <c r="D69" s="63"/>
      <c r="E69" s="64"/>
      <c r="F69" s="63"/>
      <c r="G69" s="60"/>
      <c r="H69" s="109"/>
    </row>
    <row r="70" ht="22.5" customHeight="1">
      <c r="A70" s="109"/>
      <c r="B70" s="63"/>
      <c r="C70" s="63"/>
      <c r="D70" s="63"/>
      <c r="E70" s="64"/>
      <c r="F70" s="63"/>
      <c r="G70" s="60"/>
      <c r="H70" s="109"/>
    </row>
    <row r="71" ht="22.5" customHeight="1">
      <c r="A71" s="109"/>
      <c r="B71" s="63"/>
      <c r="C71" s="63"/>
      <c r="D71" s="63"/>
      <c r="E71" s="64"/>
      <c r="F71" s="63"/>
      <c r="G71" s="60"/>
      <c r="H71" s="109"/>
    </row>
    <row r="72" ht="22.5" customHeight="1">
      <c r="A72" s="109"/>
      <c r="B72" s="63"/>
      <c r="C72" s="63"/>
      <c r="D72" s="63"/>
      <c r="E72" s="64"/>
      <c r="F72" s="63"/>
      <c r="G72" s="60"/>
      <c r="H72" s="109"/>
    </row>
    <row r="73" ht="22.5" customHeight="1">
      <c r="A73" s="109"/>
      <c r="B73" s="63"/>
      <c r="C73" s="63"/>
      <c r="D73" s="63"/>
      <c r="E73" s="64"/>
      <c r="F73" s="63"/>
      <c r="G73" s="60"/>
      <c r="H73" s="109"/>
    </row>
    <row r="74" ht="22.5" customHeight="1">
      <c r="A74" s="109"/>
      <c r="B74" s="63"/>
      <c r="C74" s="63"/>
      <c r="D74" s="63"/>
      <c r="E74" s="64"/>
      <c r="F74" s="63"/>
      <c r="G74" s="60"/>
      <c r="H74" s="109"/>
    </row>
    <row r="75" ht="22.5" customHeight="1">
      <c r="A75" s="109"/>
      <c r="B75" s="63"/>
      <c r="C75" s="63"/>
      <c r="D75" s="63"/>
      <c r="E75" s="64"/>
      <c r="F75" s="63"/>
      <c r="G75" s="60"/>
      <c r="H75" s="109"/>
    </row>
    <row r="76" ht="22.5" customHeight="1">
      <c r="A76" s="109"/>
      <c r="B76" s="63"/>
      <c r="C76" s="63"/>
      <c r="D76" s="63"/>
      <c r="E76" s="64"/>
      <c r="F76" s="63"/>
      <c r="G76" s="60"/>
      <c r="H76" s="109"/>
    </row>
    <row r="77" ht="22.5" customHeight="1">
      <c r="A77" s="109"/>
      <c r="B77" s="63"/>
      <c r="C77" s="63"/>
      <c r="D77" s="63"/>
      <c r="E77" s="64"/>
      <c r="F77" s="63"/>
      <c r="G77" s="60"/>
      <c r="H77" s="109"/>
    </row>
    <row r="78" ht="22.5" customHeight="1">
      <c r="A78" s="109"/>
      <c r="B78" s="63"/>
      <c r="C78" s="63"/>
      <c r="D78" s="63"/>
      <c r="E78" s="64"/>
      <c r="F78" s="63"/>
      <c r="G78" s="60"/>
      <c r="H78" s="109"/>
    </row>
    <row r="79" ht="22.5" customHeight="1">
      <c r="A79" s="109"/>
      <c r="B79" s="63"/>
      <c r="C79" s="63"/>
      <c r="D79" s="63"/>
      <c r="E79" s="64"/>
      <c r="F79" s="63"/>
      <c r="G79" s="60"/>
      <c r="H79" s="109"/>
    </row>
    <row r="80" ht="22.5" customHeight="1">
      <c r="A80" s="109"/>
      <c r="B80" s="63"/>
      <c r="C80" s="63"/>
      <c r="D80" s="63"/>
      <c r="E80" s="64"/>
      <c r="F80" s="63"/>
      <c r="G80" s="60"/>
      <c r="H80" s="109"/>
    </row>
    <row r="81" ht="22.5" customHeight="1">
      <c r="A81" s="109"/>
      <c r="B81" s="63"/>
      <c r="C81" s="63"/>
      <c r="D81" s="63"/>
      <c r="E81" s="64"/>
      <c r="F81" s="63"/>
      <c r="G81" s="60"/>
      <c r="H81" s="109"/>
    </row>
    <row r="82" ht="22.5" customHeight="1">
      <c r="A82" s="109"/>
      <c r="B82" s="63"/>
      <c r="C82" s="63"/>
      <c r="D82" s="63"/>
      <c r="E82" s="64"/>
      <c r="F82" s="63"/>
      <c r="G82" s="60"/>
      <c r="H82" s="109"/>
    </row>
    <row r="83" ht="22.5" customHeight="1">
      <c r="A83" s="109"/>
      <c r="B83" s="63"/>
      <c r="C83" s="63"/>
      <c r="D83" s="63"/>
      <c r="E83" s="64"/>
      <c r="F83" s="63"/>
      <c r="G83" s="60"/>
      <c r="H83" s="109"/>
    </row>
    <row r="84" ht="22.5" customHeight="1">
      <c r="A84" s="109"/>
      <c r="B84" s="63"/>
      <c r="C84" s="63"/>
      <c r="D84" s="63"/>
      <c r="E84" s="64"/>
      <c r="F84" s="63"/>
      <c r="G84" s="60"/>
      <c r="H84" s="109"/>
    </row>
    <row r="85" ht="22.5" customHeight="1">
      <c r="A85" s="109"/>
      <c r="B85" s="63"/>
      <c r="C85" s="63"/>
      <c r="D85" s="63"/>
      <c r="E85" s="64"/>
      <c r="F85" s="63"/>
      <c r="G85" s="60"/>
      <c r="H85" s="109"/>
    </row>
    <row r="86" ht="22.5" customHeight="1">
      <c r="A86" s="109"/>
      <c r="B86" s="63"/>
      <c r="C86" s="63"/>
      <c r="D86" s="63"/>
      <c r="E86" s="64"/>
      <c r="F86" s="63"/>
      <c r="G86" s="60"/>
      <c r="H86" s="109"/>
    </row>
    <row r="87" ht="22.5" customHeight="1">
      <c r="A87" s="109"/>
      <c r="B87" s="63"/>
      <c r="C87" s="63"/>
      <c r="D87" s="63"/>
      <c r="E87" s="64"/>
      <c r="F87" s="63"/>
      <c r="G87" s="60"/>
      <c r="H87" s="109"/>
    </row>
    <row r="88" ht="22.5" customHeight="1">
      <c r="A88" s="109"/>
      <c r="B88" s="63"/>
      <c r="C88" s="63"/>
      <c r="D88" s="63"/>
      <c r="E88" s="64"/>
      <c r="F88" s="63"/>
      <c r="G88" s="60"/>
      <c r="H88" s="109"/>
    </row>
    <row r="89" ht="22.5" customHeight="1">
      <c r="A89" s="109"/>
      <c r="B89" s="63"/>
      <c r="C89" s="63"/>
      <c r="D89" s="63"/>
      <c r="E89" s="64"/>
      <c r="F89" s="63"/>
      <c r="G89" s="60"/>
      <c r="H89" s="109"/>
    </row>
    <row r="90" ht="22.5" customHeight="1">
      <c r="A90" s="109"/>
      <c r="B90" s="63"/>
      <c r="C90" s="63"/>
      <c r="D90" s="63"/>
      <c r="E90" s="64"/>
      <c r="F90" s="63"/>
      <c r="G90" s="60"/>
      <c r="H90" s="109"/>
    </row>
    <row r="91" ht="22.5" customHeight="1">
      <c r="A91" s="109"/>
      <c r="B91" s="63"/>
      <c r="C91" s="63"/>
      <c r="D91" s="63"/>
      <c r="E91" s="64"/>
      <c r="F91" s="63"/>
      <c r="G91" s="60"/>
      <c r="H91" s="109"/>
    </row>
    <row r="92" ht="22.5" customHeight="1">
      <c r="A92" s="109"/>
      <c r="B92" s="63"/>
      <c r="C92" s="63"/>
      <c r="D92" s="63"/>
      <c r="E92" s="64"/>
      <c r="F92" s="63"/>
      <c r="G92" s="60"/>
      <c r="H92" s="109"/>
    </row>
    <row r="93" ht="22.5" customHeight="1">
      <c r="A93" s="109"/>
      <c r="B93" s="63"/>
      <c r="C93" s="63"/>
      <c r="D93" s="63"/>
      <c r="E93" s="64"/>
      <c r="F93" s="63"/>
      <c r="G93" s="60"/>
      <c r="H93" s="109"/>
    </row>
    <row r="94" ht="22.5" customHeight="1">
      <c r="A94" s="109"/>
      <c r="B94" s="63"/>
      <c r="C94" s="63"/>
      <c r="D94" s="63"/>
      <c r="E94" s="64"/>
      <c r="F94" s="63"/>
      <c r="G94" s="60"/>
      <c r="H94" s="109"/>
    </row>
    <row r="95" ht="22.5" customHeight="1">
      <c r="A95" s="109"/>
      <c r="B95" s="63"/>
      <c r="C95" s="63"/>
      <c r="D95" s="63"/>
      <c r="E95" s="64"/>
      <c r="F95" s="63"/>
      <c r="G95" s="60"/>
      <c r="H95" s="109"/>
    </row>
    <row r="96" ht="22.5" customHeight="1">
      <c r="A96" s="109"/>
      <c r="B96" s="63"/>
      <c r="C96" s="63"/>
      <c r="D96" s="63"/>
      <c r="E96" s="64"/>
      <c r="F96" s="63"/>
      <c r="G96" s="60"/>
      <c r="H96" s="109"/>
    </row>
    <row r="97" ht="22.5" customHeight="1">
      <c r="A97" s="109"/>
      <c r="B97" s="63"/>
      <c r="C97" s="63"/>
      <c r="D97" s="63"/>
      <c r="E97" s="64"/>
      <c r="F97" s="63"/>
      <c r="G97" s="60"/>
      <c r="H97" s="109"/>
    </row>
    <row r="98" ht="22.5" customHeight="1">
      <c r="A98" s="109"/>
      <c r="B98" s="63"/>
      <c r="C98" s="63"/>
      <c r="D98" s="63"/>
      <c r="E98" s="64"/>
      <c r="F98" s="63"/>
      <c r="G98" s="60"/>
      <c r="H98" s="109"/>
    </row>
    <row r="99" ht="22.5" customHeight="1">
      <c r="A99" s="109"/>
      <c r="B99" s="63"/>
      <c r="C99" s="63"/>
      <c r="D99" s="63"/>
      <c r="E99" s="64"/>
      <c r="F99" s="63"/>
      <c r="G99" s="60"/>
      <c r="H99" s="109"/>
    </row>
    <row r="100" ht="22.5" customHeight="1">
      <c r="A100" s="109"/>
      <c r="B100" s="63"/>
      <c r="C100" s="63"/>
      <c r="D100" s="63"/>
      <c r="E100" s="64"/>
      <c r="F100" s="63"/>
      <c r="G100" s="60"/>
      <c r="H100" s="109"/>
    </row>
    <row r="101" ht="22.5" customHeight="1">
      <c r="A101" s="109"/>
      <c r="B101" s="63"/>
      <c r="C101" s="63"/>
      <c r="D101" s="63"/>
      <c r="E101" s="64"/>
      <c r="F101" s="63"/>
      <c r="G101" s="60"/>
      <c r="H101" s="109"/>
    </row>
    <row r="102" ht="22.5" customHeight="1">
      <c r="A102" s="109"/>
      <c r="B102" s="63"/>
      <c r="C102" s="63"/>
      <c r="D102" s="63"/>
      <c r="E102" s="64"/>
      <c r="F102" s="63"/>
      <c r="G102" s="60"/>
      <c r="H102" s="109"/>
    </row>
    <row r="103" ht="22.5" customHeight="1">
      <c r="A103" s="109"/>
      <c r="B103" s="63"/>
      <c r="C103" s="63"/>
      <c r="D103" s="63"/>
      <c r="E103" s="64"/>
      <c r="F103" s="63"/>
      <c r="G103" s="60"/>
      <c r="H103" s="109"/>
    </row>
    <row r="104" ht="22.5" customHeight="1">
      <c r="A104" s="109"/>
      <c r="B104" s="63"/>
      <c r="C104" s="63"/>
      <c r="D104" s="63"/>
      <c r="E104" s="64"/>
      <c r="F104" s="63"/>
      <c r="G104" s="60"/>
      <c r="H104" s="109"/>
    </row>
    <row r="105" ht="22.5" customHeight="1">
      <c r="A105" s="109"/>
      <c r="B105" s="63"/>
      <c r="C105" s="63"/>
      <c r="D105" s="63"/>
      <c r="E105" s="64"/>
      <c r="F105" s="63"/>
      <c r="G105" s="60"/>
      <c r="H105" s="109"/>
    </row>
    <row r="106" ht="22.5" customHeight="1">
      <c r="A106" s="109"/>
      <c r="B106" s="63"/>
      <c r="C106" s="63"/>
      <c r="D106" s="63"/>
      <c r="E106" s="64"/>
      <c r="F106" s="63"/>
      <c r="G106" s="60"/>
      <c r="H106" s="109"/>
    </row>
    <row r="107" ht="22.5" customHeight="1">
      <c r="A107" s="109"/>
      <c r="B107" s="63"/>
      <c r="C107" s="63"/>
      <c r="D107" s="63"/>
      <c r="E107" s="64"/>
      <c r="F107" s="63"/>
      <c r="G107" s="60"/>
      <c r="H107" s="109"/>
    </row>
    <row r="108" ht="22.5" customHeight="1">
      <c r="A108" s="109"/>
      <c r="B108" s="63"/>
      <c r="C108" s="63"/>
      <c r="D108" s="63"/>
      <c r="E108" s="64"/>
      <c r="F108" s="63"/>
      <c r="G108" s="60"/>
      <c r="H108" s="109"/>
    </row>
    <row r="109" ht="22.5" customHeight="1">
      <c r="A109" s="109"/>
      <c r="B109" s="63"/>
      <c r="C109" s="63"/>
      <c r="D109" s="63"/>
      <c r="E109" s="64"/>
      <c r="F109" s="63"/>
      <c r="G109" s="60"/>
      <c r="H109" s="109"/>
    </row>
    <row r="110" ht="22.5" customHeight="1">
      <c r="A110" s="109"/>
      <c r="B110" s="63"/>
      <c r="C110" s="63"/>
      <c r="D110" s="63"/>
      <c r="E110" s="64"/>
      <c r="F110" s="63"/>
      <c r="G110" s="60"/>
      <c r="H110" s="109"/>
    </row>
    <row r="111" ht="22.5" customHeight="1">
      <c r="A111" s="109"/>
      <c r="B111" s="63"/>
      <c r="C111" s="63"/>
      <c r="D111" s="63"/>
      <c r="E111" s="64"/>
      <c r="F111" s="63"/>
      <c r="G111" s="60"/>
      <c r="H111" s="109"/>
    </row>
    <row r="112" ht="22.5" customHeight="1">
      <c r="A112" s="109"/>
      <c r="B112" s="63"/>
      <c r="C112" s="63"/>
      <c r="D112" s="63"/>
      <c r="E112" s="64"/>
      <c r="F112" s="63"/>
      <c r="G112" s="60"/>
      <c r="H112" s="109"/>
    </row>
    <row r="113" ht="22.5" customHeight="1">
      <c r="A113" s="109"/>
      <c r="B113" s="63"/>
      <c r="C113" s="63"/>
      <c r="D113" s="63"/>
      <c r="E113" s="64"/>
      <c r="F113" s="63"/>
      <c r="G113" s="60"/>
      <c r="H113" s="109"/>
    </row>
    <row r="114" ht="22.5" customHeight="1">
      <c r="A114" s="109"/>
      <c r="B114" s="63"/>
      <c r="C114" s="63"/>
      <c r="D114" s="63"/>
      <c r="E114" s="64"/>
      <c r="F114" s="63"/>
      <c r="G114" s="60"/>
      <c r="H114" s="109"/>
    </row>
    <row r="115" ht="22.5" customHeight="1">
      <c r="A115" s="109"/>
      <c r="B115" s="63"/>
      <c r="C115" s="63"/>
      <c r="D115" s="63"/>
      <c r="E115" s="64"/>
      <c r="F115" s="63"/>
      <c r="G115" s="60"/>
      <c r="H115" s="109"/>
    </row>
    <row r="116" ht="22.5" customHeight="1">
      <c r="A116" s="109"/>
      <c r="B116" s="63"/>
      <c r="C116" s="63"/>
      <c r="D116" s="63"/>
      <c r="E116" s="64"/>
      <c r="F116" s="63"/>
      <c r="G116" s="60"/>
      <c r="H116" s="109"/>
    </row>
    <row r="117" ht="22.5" customHeight="1">
      <c r="A117" s="109"/>
      <c r="B117" s="63"/>
      <c r="C117" s="63"/>
      <c r="D117" s="63"/>
      <c r="E117" s="64"/>
      <c r="F117" s="63"/>
      <c r="G117" s="60"/>
      <c r="H117" s="109"/>
    </row>
    <row r="118" ht="22.5" customHeight="1">
      <c r="A118" s="109"/>
      <c r="B118" s="63"/>
      <c r="C118" s="63"/>
      <c r="D118" s="63"/>
      <c r="E118" s="64"/>
      <c r="F118" s="63"/>
      <c r="G118" s="60"/>
      <c r="H118" s="109"/>
    </row>
    <row r="119" ht="22.5" customHeight="1">
      <c r="A119" s="109"/>
      <c r="B119" s="63"/>
      <c r="C119" s="63"/>
      <c r="D119" s="63"/>
      <c r="E119" s="64"/>
      <c r="F119" s="63"/>
      <c r="G119" s="60"/>
      <c r="H119" s="109"/>
    </row>
    <row r="120" ht="22.5" customHeight="1">
      <c r="A120" s="109"/>
      <c r="B120" s="63"/>
      <c r="C120" s="63"/>
      <c r="D120" s="63"/>
      <c r="E120" s="64"/>
      <c r="F120" s="63"/>
      <c r="G120" s="60"/>
      <c r="H120" s="109"/>
    </row>
    <row r="121" ht="22.5" customHeight="1">
      <c r="A121" s="109"/>
      <c r="B121" s="63"/>
      <c r="C121" s="63"/>
      <c r="D121" s="63"/>
      <c r="E121" s="64"/>
      <c r="F121" s="63"/>
      <c r="G121" s="60"/>
      <c r="H121" s="109"/>
    </row>
    <row r="122" ht="22.5" customHeight="1">
      <c r="A122" s="109"/>
      <c r="B122" s="63"/>
      <c r="C122" s="63"/>
      <c r="D122" s="63"/>
      <c r="E122" s="64"/>
      <c r="F122" s="63"/>
      <c r="G122" s="60"/>
      <c r="H122" s="109"/>
    </row>
    <row r="123" ht="15.75" customHeight="1">
      <c r="B123" s="65"/>
      <c r="C123" s="65"/>
      <c r="D123" s="65"/>
      <c r="E123" s="66"/>
      <c r="F123" s="65"/>
      <c r="G123" s="67"/>
    </row>
    <row r="124" ht="15.75" customHeight="1">
      <c r="B124" s="65"/>
      <c r="C124" s="65"/>
      <c r="D124" s="65"/>
      <c r="E124" s="66"/>
      <c r="F124" s="65"/>
      <c r="G124" s="67"/>
    </row>
    <row r="125" ht="15.75" customHeight="1">
      <c r="B125" s="65"/>
      <c r="C125" s="65"/>
      <c r="D125" s="65"/>
      <c r="E125" s="66"/>
      <c r="F125" s="65"/>
      <c r="G125" s="67"/>
    </row>
    <row r="126" ht="15.75" customHeight="1">
      <c r="B126" s="65"/>
      <c r="C126" s="65"/>
      <c r="D126" s="65"/>
      <c r="E126" s="66"/>
      <c r="F126" s="65"/>
      <c r="G126" s="67"/>
    </row>
    <row r="127" ht="15.75" customHeight="1">
      <c r="B127" s="65"/>
      <c r="C127" s="65"/>
      <c r="D127" s="65"/>
      <c r="E127" s="66"/>
      <c r="F127" s="65"/>
      <c r="G127" s="67"/>
    </row>
    <row r="128" ht="15.75" customHeight="1">
      <c r="B128" s="65"/>
      <c r="C128" s="65"/>
      <c r="D128" s="65"/>
      <c r="E128" s="66"/>
      <c r="F128" s="65"/>
      <c r="G128" s="67"/>
    </row>
    <row r="129" ht="15.75" customHeight="1">
      <c r="B129" s="65"/>
      <c r="C129" s="65"/>
      <c r="D129" s="65"/>
      <c r="E129" s="66"/>
      <c r="F129" s="65"/>
      <c r="G129" s="67"/>
    </row>
    <row r="130" ht="15.75" customHeight="1">
      <c r="B130" s="65"/>
      <c r="C130" s="65"/>
      <c r="D130" s="65"/>
      <c r="E130" s="66"/>
      <c r="F130" s="65"/>
      <c r="G130" s="67"/>
    </row>
    <row r="131" ht="15.75" customHeight="1">
      <c r="B131" s="65"/>
      <c r="C131" s="65"/>
      <c r="D131" s="65"/>
      <c r="E131" s="66"/>
      <c r="F131" s="65"/>
      <c r="G131" s="67"/>
    </row>
    <row r="132" ht="15.75" customHeight="1">
      <c r="B132" s="65"/>
      <c r="C132" s="65"/>
      <c r="D132" s="65"/>
      <c r="E132" s="66"/>
      <c r="F132" s="65"/>
      <c r="G132" s="67"/>
    </row>
    <row r="133" ht="15.75" customHeight="1">
      <c r="B133" s="65"/>
      <c r="C133" s="65"/>
      <c r="D133" s="65"/>
      <c r="E133" s="66"/>
      <c r="F133" s="65"/>
      <c r="G133" s="67"/>
    </row>
    <row r="134" ht="15.75" customHeight="1">
      <c r="B134" s="65"/>
      <c r="C134" s="65"/>
      <c r="D134" s="65"/>
      <c r="E134" s="66"/>
      <c r="F134" s="65"/>
      <c r="G134" s="67"/>
    </row>
    <row r="135" ht="15.75" customHeight="1">
      <c r="B135" s="65"/>
      <c r="C135" s="65"/>
      <c r="D135" s="65"/>
      <c r="E135" s="66"/>
      <c r="F135" s="65"/>
      <c r="G135" s="67"/>
    </row>
    <row r="136" ht="15.75" customHeight="1">
      <c r="B136" s="65"/>
      <c r="C136" s="65"/>
      <c r="D136" s="65"/>
      <c r="E136" s="66"/>
      <c r="F136" s="65"/>
      <c r="G136" s="67"/>
    </row>
    <row r="137" ht="15.75" customHeight="1">
      <c r="B137" s="65"/>
      <c r="C137" s="65"/>
      <c r="D137" s="65"/>
      <c r="E137" s="66"/>
      <c r="F137" s="65"/>
      <c r="G137" s="67"/>
    </row>
    <row r="138" ht="15.75" customHeight="1">
      <c r="B138" s="65"/>
      <c r="C138" s="65"/>
      <c r="D138" s="65"/>
      <c r="E138" s="66"/>
      <c r="F138" s="65"/>
      <c r="G138" s="67"/>
    </row>
    <row r="139" ht="15.75" customHeight="1">
      <c r="B139" s="65"/>
      <c r="C139" s="65"/>
      <c r="D139" s="65"/>
      <c r="E139" s="66"/>
      <c r="F139" s="65"/>
      <c r="G139" s="67"/>
    </row>
    <row r="140" ht="15.75" customHeight="1">
      <c r="B140" s="65"/>
      <c r="C140" s="65"/>
      <c r="D140" s="65"/>
      <c r="E140" s="66"/>
      <c r="F140" s="65"/>
      <c r="G140" s="67"/>
    </row>
    <row r="141" ht="15.75" customHeight="1">
      <c r="B141" s="65"/>
      <c r="C141" s="65"/>
      <c r="D141" s="65"/>
      <c r="E141" s="66"/>
      <c r="F141" s="65"/>
      <c r="G141" s="67"/>
    </row>
    <row r="142" ht="15.75" customHeight="1">
      <c r="B142" s="65"/>
      <c r="C142" s="65"/>
      <c r="D142" s="65"/>
      <c r="E142" s="66"/>
      <c r="F142" s="65"/>
      <c r="G142" s="67"/>
    </row>
    <row r="143" ht="15.75" customHeight="1">
      <c r="B143" s="65"/>
      <c r="C143" s="65"/>
      <c r="D143" s="65"/>
      <c r="E143" s="66"/>
      <c r="F143" s="65"/>
      <c r="G143" s="67"/>
    </row>
    <row r="144" ht="15.75" customHeight="1">
      <c r="B144" s="65"/>
      <c r="C144" s="65"/>
      <c r="D144" s="65"/>
      <c r="E144" s="66"/>
      <c r="F144" s="65"/>
      <c r="G144" s="67"/>
    </row>
    <row r="145" ht="15.75" customHeight="1">
      <c r="B145" s="65"/>
      <c r="C145" s="65"/>
      <c r="D145" s="65"/>
      <c r="E145" s="66"/>
      <c r="F145" s="65"/>
      <c r="G145" s="67"/>
    </row>
    <row r="146" ht="15.75" customHeight="1">
      <c r="B146" s="65"/>
      <c r="C146" s="65"/>
      <c r="D146" s="65"/>
      <c r="E146" s="66"/>
      <c r="F146" s="65"/>
      <c r="G146" s="67"/>
    </row>
    <row r="147" ht="15.75" customHeight="1">
      <c r="B147" s="65"/>
      <c r="C147" s="65"/>
      <c r="D147" s="65"/>
      <c r="E147" s="66"/>
      <c r="F147" s="65"/>
      <c r="G147" s="67"/>
    </row>
    <row r="148" ht="15.75" customHeight="1">
      <c r="B148" s="65"/>
      <c r="C148" s="65"/>
      <c r="D148" s="65"/>
      <c r="E148" s="66"/>
      <c r="F148" s="65"/>
      <c r="G148" s="67"/>
    </row>
    <row r="149" ht="15.75" customHeight="1">
      <c r="B149" s="65"/>
      <c r="C149" s="65"/>
      <c r="D149" s="65"/>
      <c r="E149" s="66"/>
      <c r="F149" s="65"/>
      <c r="G149" s="67"/>
    </row>
    <row r="150" ht="15.75" customHeight="1">
      <c r="B150" s="65"/>
      <c r="C150" s="65"/>
      <c r="D150" s="65"/>
      <c r="E150" s="66"/>
      <c r="F150" s="65"/>
      <c r="G150" s="67"/>
    </row>
    <row r="151" ht="15.75" customHeight="1">
      <c r="B151" s="65"/>
      <c r="C151" s="65"/>
      <c r="D151" s="65"/>
      <c r="E151" s="66"/>
      <c r="F151" s="65"/>
      <c r="G151" s="67"/>
    </row>
    <row r="152" ht="15.75" customHeight="1">
      <c r="B152" s="65"/>
      <c r="C152" s="65"/>
      <c r="D152" s="65"/>
      <c r="E152" s="66"/>
      <c r="F152" s="65"/>
      <c r="G152" s="67"/>
    </row>
    <row r="153" ht="15.75" customHeight="1">
      <c r="B153" s="65"/>
      <c r="C153" s="65"/>
      <c r="D153" s="65"/>
      <c r="E153" s="66"/>
      <c r="F153" s="65"/>
      <c r="G153" s="67"/>
    </row>
    <row r="154" ht="15.75" customHeight="1">
      <c r="B154" s="65"/>
      <c r="C154" s="65"/>
      <c r="D154" s="65"/>
      <c r="E154" s="66"/>
      <c r="F154" s="65"/>
      <c r="G154" s="67"/>
    </row>
    <row r="155" ht="15.75" customHeight="1">
      <c r="B155" s="65"/>
      <c r="C155" s="65"/>
      <c r="D155" s="65"/>
      <c r="E155" s="66"/>
      <c r="F155" s="65"/>
      <c r="G155" s="67"/>
    </row>
    <row r="156" ht="15.75" customHeight="1">
      <c r="B156" s="65"/>
      <c r="C156" s="65"/>
      <c r="D156" s="65"/>
      <c r="E156" s="66"/>
      <c r="F156" s="65"/>
      <c r="G156" s="67"/>
    </row>
    <row r="157" ht="15.75" customHeight="1">
      <c r="B157" s="65"/>
      <c r="C157" s="65"/>
      <c r="D157" s="65"/>
      <c r="E157" s="66"/>
      <c r="F157" s="65"/>
      <c r="G157" s="67"/>
    </row>
    <row r="158" ht="15.75" customHeight="1">
      <c r="B158" s="65"/>
      <c r="C158" s="65"/>
      <c r="D158" s="65"/>
      <c r="E158" s="66"/>
      <c r="F158" s="65"/>
      <c r="G158" s="67"/>
    </row>
    <row r="159" ht="15.75" customHeight="1">
      <c r="B159" s="65"/>
      <c r="C159" s="65"/>
      <c r="D159" s="65"/>
      <c r="E159" s="66"/>
      <c r="F159" s="65"/>
      <c r="G159" s="67"/>
    </row>
    <row r="160" ht="15.75" customHeight="1">
      <c r="B160" s="65"/>
      <c r="C160" s="65"/>
      <c r="D160" s="65"/>
      <c r="E160" s="66"/>
      <c r="F160" s="65"/>
      <c r="G160" s="67"/>
    </row>
    <row r="161" ht="15.75" customHeight="1">
      <c r="B161" s="65"/>
      <c r="C161" s="65"/>
      <c r="D161" s="65"/>
      <c r="E161" s="66"/>
      <c r="F161" s="65"/>
      <c r="G161" s="67"/>
    </row>
    <row r="162" ht="15.75" customHeight="1">
      <c r="B162" s="65"/>
      <c r="C162" s="65"/>
      <c r="D162" s="65"/>
      <c r="E162" s="66"/>
      <c r="F162" s="65"/>
      <c r="G162" s="67"/>
    </row>
    <row r="163" ht="15.75" customHeight="1">
      <c r="B163" s="65"/>
      <c r="C163" s="65"/>
      <c r="D163" s="65"/>
      <c r="E163" s="66"/>
      <c r="F163" s="65"/>
      <c r="G163" s="67"/>
    </row>
    <row r="164" ht="15.75" customHeight="1">
      <c r="B164" s="65"/>
      <c r="C164" s="65"/>
      <c r="D164" s="65"/>
      <c r="E164" s="66"/>
      <c r="F164" s="65"/>
      <c r="G164" s="67"/>
    </row>
    <row r="165" ht="15.75" customHeight="1">
      <c r="B165" s="65"/>
      <c r="C165" s="65"/>
      <c r="D165" s="65"/>
      <c r="E165" s="66"/>
      <c r="F165" s="65"/>
      <c r="G165" s="67"/>
    </row>
    <row r="166" ht="15.75" customHeight="1">
      <c r="B166" s="65"/>
      <c r="C166" s="65"/>
      <c r="D166" s="65"/>
      <c r="E166" s="66"/>
      <c r="F166" s="65"/>
      <c r="G166" s="67"/>
    </row>
    <row r="167" ht="15.75" customHeight="1">
      <c r="B167" s="65"/>
      <c r="C167" s="65"/>
      <c r="D167" s="65"/>
      <c r="E167" s="66"/>
      <c r="F167" s="65"/>
      <c r="G167" s="67"/>
    </row>
    <row r="168" ht="15.75" customHeight="1">
      <c r="B168" s="65"/>
      <c r="C168" s="65"/>
      <c r="D168" s="65"/>
      <c r="E168" s="66"/>
      <c r="F168" s="65"/>
      <c r="G168" s="67"/>
    </row>
    <row r="169" ht="15.75" customHeight="1">
      <c r="B169" s="65"/>
      <c r="C169" s="65"/>
      <c r="D169" s="65"/>
      <c r="E169" s="66"/>
      <c r="F169" s="65"/>
      <c r="G169" s="67"/>
    </row>
    <row r="170" ht="15.75" customHeight="1">
      <c r="B170" s="65"/>
      <c r="C170" s="65"/>
      <c r="D170" s="65"/>
      <c r="E170" s="66"/>
      <c r="F170" s="65"/>
      <c r="G170" s="67"/>
    </row>
    <row r="171" ht="15.75" customHeight="1">
      <c r="B171" s="65"/>
      <c r="C171" s="65"/>
      <c r="D171" s="65"/>
      <c r="E171" s="66"/>
      <c r="F171" s="65"/>
      <c r="G171" s="67"/>
    </row>
    <row r="172" ht="15.75" customHeight="1">
      <c r="B172" s="65"/>
      <c r="C172" s="65"/>
      <c r="D172" s="65"/>
      <c r="E172" s="66"/>
      <c r="F172" s="65"/>
      <c r="G172" s="67"/>
    </row>
    <row r="173" ht="15.75" customHeight="1">
      <c r="B173" s="65"/>
      <c r="C173" s="65"/>
      <c r="D173" s="65"/>
      <c r="E173" s="66"/>
      <c r="F173" s="65"/>
      <c r="G173" s="67"/>
    </row>
    <row r="174" ht="15.75" customHeight="1">
      <c r="B174" s="65"/>
      <c r="C174" s="65"/>
      <c r="D174" s="65"/>
      <c r="E174" s="66"/>
      <c r="F174" s="65"/>
      <c r="G174" s="67"/>
    </row>
    <row r="175" ht="15.75" customHeight="1">
      <c r="B175" s="65"/>
      <c r="C175" s="65"/>
      <c r="D175" s="65"/>
      <c r="E175" s="66"/>
      <c r="F175" s="65"/>
      <c r="G175" s="67"/>
    </row>
    <row r="176" ht="15.75" customHeight="1">
      <c r="B176" s="65"/>
      <c r="C176" s="65"/>
      <c r="D176" s="65"/>
      <c r="E176" s="66"/>
      <c r="F176" s="65"/>
      <c r="G176" s="67"/>
    </row>
    <row r="177" ht="15.75" customHeight="1">
      <c r="B177" s="65"/>
      <c r="C177" s="65"/>
      <c r="D177" s="65"/>
      <c r="E177" s="66"/>
      <c r="F177" s="65"/>
      <c r="G177" s="67"/>
    </row>
    <row r="178" ht="15.75" customHeight="1">
      <c r="B178" s="65"/>
      <c r="C178" s="65"/>
      <c r="D178" s="65"/>
      <c r="E178" s="66"/>
      <c r="F178" s="65"/>
      <c r="G178" s="67"/>
    </row>
    <row r="179" ht="15.75" customHeight="1">
      <c r="B179" s="65"/>
      <c r="C179" s="65"/>
      <c r="D179" s="65"/>
      <c r="E179" s="66"/>
      <c r="F179" s="65"/>
      <c r="G179" s="67"/>
    </row>
    <row r="180" ht="15.75" customHeight="1">
      <c r="B180" s="65"/>
      <c r="C180" s="65"/>
      <c r="D180" s="65"/>
      <c r="E180" s="66"/>
      <c r="F180" s="65"/>
      <c r="G180" s="67"/>
    </row>
    <row r="181" ht="15.75" customHeight="1">
      <c r="B181" s="65"/>
      <c r="C181" s="65"/>
      <c r="D181" s="65"/>
      <c r="E181" s="66"/>
      <c r="F181" s="65"/>
      <c r="G181" s="67"/>
    </row>
    <row r="182" ht="15.75" customHeight="1">
      <c r="B182" s="65"/>
      <c r="C182" s="65"/>
      <c r="D182" s="65"/>
      <c r="E182" s="66"/>
      <c r="F182" s="65"/>
      <c r="G182" s="67"/>
    </row>
    <row r="183" ht="15.75" customHeight="1">
      <c r="B183" s="65"/>
      <c r="C183" s="65"/>
      <c r="D183" s="65"/>
      <c r="E183" s="66"/>
      <c r="F183" s="65"/>
      <c r="G183" s="67"/>
    </row>
    <row r="184" ht="15.75" customHeight="1">
      <c r="B184" s="65"/>
      <c r="C184" s="65"/>
      <c r="D184" s="65"/>
      <c r="E184" s="66"/>
      <c r="F184" s="65"/>
      <c r="G184" s="67"/>
    </row>
    <row r="185" ht="15.75" customHeight="1">
      <c r="B185" s="65"/>
      <c r="C185" s="65"/>
      <c r="D185" s="65"/>
      <c r="E185" s="66"/>
      <c r="F185" s="65"/>
      <c r="G185" s="67"/>
    </row>
    <row r="186" ht="15.75" customHeight="1">
      <c r="B186" s="65"/>
      <c r="C186" s="65"/>
      <c r="D186" s="65"/>
      <c r="E186" s="66"/>
      <c r="F186" s="65"/>
      <c r="G186" s="67"/>
    </row>
    <row r="187" ht="15.75" customHeight="1">
      <c r="B187" s="65"/>
      <c r="C187" s="65"/>
      <c r="D187" s="65"/>
      <c r="E187" s="66"/>
      <c r="F187" s="65"/>
      <c r="G187" s="67"/>
    </row>
    <row r="188" ht="15.75" customHeight="1">
      <c r="B188" s="65"/>
      <c r="C188" s="65"/>
      <c r="D188" s="65"/>
      <c r="E188" s="66"/>
      <c r="F188" s="65"/>
      <c r="G188" s="67"/>
    </row>
    <row r="189" ht="15.75" customHeight="1">
      <c r="B189" s="65"/>
      <c r="C189" s="65"/>
      <c r="D189" s="65"/>
      <c r="E189" s="66"/>
      <c r="F189" s="65"/>
      <c r="G189" s="67"/>
    </row>
    <row r="190" ht="15.75" customHeight="1">
      <c r="B190" s="65"/>
      <c r="C190" s="65"/>
      <c r="D190" s="65"/>
      <c r="E190" s="66"/>
      <c r="F190" s="65"/>
      <c r="G190" s="67"/>
    </row>
    <row r="191" ht="15.75" customHeight="1">
      <c r="B191" s="65"/>
      <c r="C191" s="65"/>
      <c r="D191" s="65"/>
      <c r="E191" s="66"/>
      <c r="F191" s="65"/>
      <c r="G191" s="67"/>
    </row>
    <row r="192" ht="15.75" customHeight="1">
      <c r="B192" s="65"/>
      <c r="C192" s="65"/>
      <c r="D192" s="65"/>
      <c r="E192" s="66"/>
      <c r="F192" s="65"/>
      <c r="G192" s="67"/>
    </row>
    <row r="193" ht="15.75" customHeight="1">
      <c r="B193" s="65"/>
      <c r="C193" s="65"/>
      <c r="D193" s="65"/>
      <c r="E193" s="66"/>
      <c r="F193" s="65"/>
      <c r="G193" s="67"/>
    </row>
    <row r="194" ht="15.75" customHeight="1">
      <c r="B194" s="65"/>
      <c r="C194" s="65"/>
      <c r="D194" s="65"/>
      <c r="E194" s="66"/>
      <c r="F194" s="65"/>
      <c r="G194" s="67"/>
    </row>
    <row r="195" ht="15.75" customHeight="1">
      <c r="B195" s="65"/>
      <c r="C195" s="65"/>
      <c r="D195" s="65"/>
      <c r="E195" s="66"/>
      <c r="F195" s="65"/>
      <c r="G195" s="67"/>
    </row>
    <row r="196" ht="15.75" customHeight="1">
      <c r="B196" s="65"/>
      <c r="C196" s="65"/>
      <c r="D196" s="65"/>
      <c r="E196" s="66"/>
      <c r="F196" s="65"/>
      <c r="G196" s="67"/>
    </row>
    <row r="197" ht="15.75" customHeight="1">
      <c r="B197" s="65"/>
      <c r="C197" s="65"/>
      <c r="D197" s="65"/>
      <c r="E197" s="66"/>
      <c r="F197" s="65"/>
      <c r="G197" s="67"/>
    </row>
    <row r="198" ht="15.75" customHeight="1">
      <c r="B198" s="65"/>
      <c r="C198" s="65"/>
      <c r="D198" s="65"/>
      <c r="E198" s="66"/>
      <c r="F198" s="65"/>
      <c r="G198" s="67"/>
    </row>
    <row r="199" ht="15.75" customHeight="1">
      <c r="B199" s="65"/>
      <c r="C199" s="65"/>
      <c r="D199" s="65"/>
      <c r="E199" s="66"/>
      <c r="F199" s="65"/>
      <c r="G199" s="67"/>
    </row>
    <row r="200" ht="15.75" customHeight="1">
      <c r="B200" s="65"/>
      <c r="C200" s="65"/>
      <c r="D200" s="65"/>
      <c r="E200" s="66"/>
      <c r="F200" s="65"/>
      <c r="G200" s="67"/>
    </row>
    <row r="201" ht="15.75" customHeight="1">
      <c r="B201" s="65"/>
      <c r="C201" s="65"/>
      <c r="D201" s="65"/>
      <c r="E201" s="66"/>
      <c r="F201" s="65"/>
      <c r="G201" s="67"/>
    </row>
    <row r="202" ht="15.75" customHeight="1">
      <c r="B202" s="65"/>
      <c r="C202" s="65"/>
      <c r="D202" s="65"/>
      <c r="E202" s="66"/>
      <c r="F202" s="65"/>
      <c r="G202" s="67"/>
    </row>
    <row r="203" ht="15.75" customHeight="1">
      <c r="B203" s="65"/>
      <c r="C203" s="65"/>
      <c r="D203" s="65"/>
      <c r="E203" s="66"/>
      <c r="F203" s="65"/>
      <c r="G203" s="67"/>
    </row>
    <row r="204" ht="15.75" customHeight="1">
      <c r="B204" s="65"/>
      <c r="C204" s="65"/>
      <c r="D204" s="65"/>
      <c r="E204" s="66"/>
      <c r="F204" s="65"/>
      <c r="G204" s="67"/>
    </row>
    <row r="205" ht="15.75" customHeight="1">
      <c r="B205" s="65"/>
      <c r="C205" s="65"/>
      <c r="D205" s="65"/>
      <c r="E205" s="66"/>
      <c r="F205" s="65"/>
      <c r="G205" s="67"/>
    </row>
    <row r="206" ht="15.75" customHeight="1">
      <c r="B206" s="65"/>
      <c r="C206" s="65"/>
      <c r="D206" s="65"/>
      <c r="E206" s="66"/>
      <c r="F206" s="65"/>
      <c r="G206" s="67"/>
    </row>
    <row r="207" ht="15.75" customHeight="1">
      <c r="B207" s="65"/>
      <c r="C207" s="65"/>
      <c r="D207" s="65"/>
      <c r="E207" s="66"/>
      <c r="F207" s="65"/>
      <c r="G207" s="67"/>
    </row>
    <row r="208" ht="15.75" customHeight="1">
      <c r="B208" s="65"/>
      <c r="C208" s="65"/>
      <c r="D208" s="65"/>
      <c r="E208" s="66"/>
      <c r="F208" s="65"/>
      <c r="G208" s="67"/>
    </row>
    <row r="209" ht="15.75" customHeight="1">
      <c r="B209" s="65"/>
      <c r="C209" s="65"/>
      <c r="D209" s="65"/>
      <c r="E209" s="66"/>
      <c r="F209" s="65"/>
      <c r="G209" s="67"/>
    </row>
    <row r="210" ht="15.75" customHeight="1">
      <c r="B210" s="65"/>
      <c r="C210" s="65"/>
      <c r="D210" s="65"/>
      <c r="E210" s="66"/>
      <c r="F210" s="65"/>
      <c r="G210" s="67"/>
    </row>
    <row r="211" ht="15.75" customHeight="1">
      <c r="B211" s="65"/>
      <c r="C211" s="65"/>
      <c r="D211" s="65"/>
      <c r="E211" s="66"/>
      <c r="F211" s="65"/>
      <c r="G211" s="67"/>
    </row>
    <row r="212" ht="15.75" customHeight="1">
      <c r="B212" s="65"/>
      <c r="C212" s="65"/>
      <c r="D212" s="65"/>
      <c r="E212" s="66"/>
      <c r="F212" s="65"/>
      <c r="G212" s="67"/>
    </row>
    <row r="213" ht="15.75" customHeight="1">
      <c r="B213" s="65"/>
      <c r="C213" s="65"/>
      <c r="D213" s="65"/>
      <c r="E213" s="66"/>
      <c r="F213" s="65"/>
      <c r="G213" s="67"/>
    </row>
    <row r="214" ht="15.75" customHeight="1">
      <c r="B214" s="65"/>
      <c r="C214" s="65"/>
      <c r="D214" s="65"/>
      <c r="E214" s="66"/>
      <c r="F214" s="65"/>
      <c r="G214" s="67"/>
    </row>
    <row r="215" ht="15.75" customHeight="1">
      <c r="B215" s="65"/>
      <c r="C215" s="65"/>
      <c r="D215" s="65"/>
      <c r="E215" s="66"/>
      <c r="F215" s="65"/>
      <c r="G215" s="67"/>
    </row>
    <row r="216" ht="15.75" customHeight="1">
      <c r="B216" s="65"/>
      <c r="C216" s="65"/>
      <c r="D216" s="65"/>
      <c r="E216" s="66"/>
      <c r="F216" s="65"/>
      <c r="G216" s="67"/>
    </row>
    <row r="217" ht="15.75" customHeight="1">
      <c r="B217" s="65"/>
      <c r="C217" s="65"/>
      <c r="D217" s="65"/>
      <c r="E217" s="66"/>
      <c r="F217" s="65"/>
      <c r="G217" s="67"/>
    </row>
    <row r="218" ht="15.75" customHeight="1">
      <c r="B218" s="65"/>
      <c r="C218" s="65"/>
      <c r="D218" s="65"/>
      <c r="E218" s="66"/>
      <c r="F218" s="65"/>
      <c r="G218" s="67"/>
    </row>
    <row r="219" ht="15.75" customHeight="1">
      <c r="B219" s="65"/>
      <c r="C219" s="65"/>
      <c r="D219" s="65"/>
      <c r="E219" s="66"/>
      <c r="F219" s="65"/>
      <c r="G219" s="67"/>
    </row>
    <row r="220" ht="15.75" customHeight="1">
      <c r="B220" s="65"/>
      <c r="C220" s="65"/>
      <c r="D220" s="65"/>
      <c r="E220" s="66"/>
      <c r="F220" s="65"/>
      <c r="G220" s="67"/>
    </row>
    <row r="221" ht="15.75" customHeight="1">
      <c r="B221" s="65"/>
      <c r="C221" s="65"/>
      <c r="D221" s="65"/>
      <c r="E221" s="66"/>
      <c r="F221" s="65"/>
      <c r="G221" s="67"/>
    </row>
    <row r="222" ht="15.75" customHeight="1">
      <c r="B222" s="65"/>
      <c r="C222" s="65"/>
      <c r="D222" s="65"/>
      <c r="E222" s="66"/>
      <c r="F222" s="65"/>
      <c r="G222" s="67"/>
    </row>
    <row r="223" ht="15.75" customHeight="1">
      <c r="B223" s="65"/>
      <c r="C223" s="65"/>
      <c r="D223" s="65"/>
      <c r="E223" s="66"/>
      <c r="F223" s="65"/>
      <c r="G223" s="67"/>
    </row>
    <row r="224" ht="15.75" customHeight="1">
      <c r="B224" s="65"/>
      <c r="C224" s="65"/>
      <c r="D224" s="65"/>
      <c r="E224" s="66"/>
      <c r="F224" s="65"/>
      <c r="G224" s="67"/>
    </row>
    <row r="225" ht="15.75" customHeight="1">
      <c r="B225" s="65"/>
      <c r="C225" s="65"/>
      <c r="D225" s="65"/>
      <c r="E225" s="66"/>
      <c r="F225" s="65"/>
      <c r="G225" s="67"/>
    </row>
    <row r="226" ht="15.75" customHeight="1">
      <c r="B226" s="65"/>
      <c r="C226" s="65"/>
      <c r="D226" s="65"/>
      <c r="E226" s="66"/>
      <c r="F226" s="65"/>
      <c r="G226" s="67"/>
    </row>
    <row r="227" ht="15.75" customHeight="1">
      <c r="B227" s="65"/>
      <c r="C227" s="65"/>
      <c r="D227" s="65"/>
      <c r="E227" s="66"/>
      <c r="F227" s="65"/>
      <c r="G227" s="67"/>
    </row>
    <row r="228" ht="15.75" customHeight="1">
      <c r="B228" s="65"/>
      <c r="C228" s="65"/>
      <c r="D228" s="65"/>
      <c r="E228" s="66"/>
      <c r="F228" s="65"/>
      <c r="G228" s="67"/>
    </row>
    <row r="229" ht="15.75" customHeight="1">
      <c r="B229" s="65"/>
      <c r="C229" s="65"/>
      <c r="D229" s="65"/>
      <c r="E229" s="66"/>
      <c r="F229" s="65"/>
      <c r="G229" s="67"/>
    </row>
    <row r="230" ht="15.75" customHeight="1">
      <c r="B230" s="65"/>
      <c r="C230" s="65"/>
      <c r="D230" s="65"/>
      <c r="E230" s="66"/>
      <c r="F230" s="65"/>
      <c r="G230" s="67"/>
    </row>
    <row r="231" ht="15.75" customHeight="1">
      <c r="B231" s="65"/>
      <c r="C231" s="65"/>
      <c r="D231" s="65"/>
      <c r="E231" s="66"/>
      <c r="F231" s="65"/>
      <c r="G231" s="67"/>
    </row>
    <row r="232" ht="15.75" customHeight="1">
      <c r="B232" s="65"/>
      <c r="C232" s="65"/>
      <c r="D232" s="65"/>
      <c r="E232" s="66"/>
      <c r="F232" s="65"/>
      <c r="G232" s="67"/>
    </row>
    <row r="233" ht="15.75" customHeight="1">
      <c r="B233" s="65"/>
      <c r="C233" s="65"/>
      <c r="D233" s="65"/>
      <c r="E233" s="66"/>
      <c r="F233" s="65"/>
      <c r="G233" s="67"/>
    </row>
    <row r="234" ht="15.75" customHeight="1">
      <c r="B234" s="65"/>
      <c r="C234" s="65"/>
      <c r="D234" s="65"/>
      <c r="E234" s="66"/>
      <c r="F234" s="65"/>
      <c r="G234" s="67"/>
    </row>
    <row r="235" ht="15.75" customHeight="1">
      <c r="B235" s="65"/>
      <c r="C235" s="65"/>
      <c r="D235" s="65"/>
      <c r="E235" s="66"/>
      <c r="F235" s="65"/>
      <c r="G235" s="67"/>
    </row>
    <row r="236" ht="15.75" customHeight="1">
      <c r="B236" s="65"/>
      <c r="C236" s="65"/>
      <c r="D236" s="65"/>
      <c r="E236" s="66"/>
      <c r="F236" s="65"/>
      <c r="G236" s="67"/>
    </row>
    <row r="237" ht="15.75" customHeight="1">
      <c r="B237" s="65"/>
      <c r="C237" s="65"/>
      <c r="D237" s="65"/>
      <c r="E237" s="66"/>
      <c r="F237" s="65"/>
      <c r="G237" s="67"/>
    </row>
    <row r="238" ht="15.75" customHeight="1">
      <c r="B238" s="65"/>
      <c r="C238" s="65"/>
      <c r="D238" s="65"/>
      <c r="E238" s="66"/>
      <c r="F238" s="65"/>
      <c r="G238" s="67"/>
    </row>
    <row r="239" ht="15.75" customHeight="1">
      <c r="B239" s="65"/>
      <c r="C239" s="65"/>
      <c r="D239" s="65"/>
      <c r="E239" s="66"/>
      <c r="F239" s="65"/>
      <c r="G239" s="67"/>
    </row>
    <row r="240" ht="15.75" customHeight="1">
      <c r="B240" s="65"/>
      <c r="C240" s="65"/>
      <c r="D240" s="65"/>
      <c r="E240" s="66"/>
      <c r="F240" s="65"/>
      <c r="G240" s="67"/>
    </row>
    <row r="241" ht="15.75" customHeight="1">
      <c r="B241" s="65"/>
      <c r="C241" s="65"/>
      <c r="D241" s="65"/>
      <c r="E241" s="66"/>
      <c r="F241" s="65"/>
      <c r="G241" s="67"/>
    </row>
    <row r="242" ht="15.75" customHeight="1">
      <c r="B242" s="65"/>
      <c r="C242" s="65"/>
      <c r="D242" s="65"/>
      <c r="E242" s="66"/>
      <c r="F242" s="65"/>
      <c r="G242" s="67"/>
    </row>
    <row r="243" ht="15.75" customHeight="1">
      <c r="B243" s="65"/>
      <c r="C243" s="65"/>
      <c r="D243" s="65"/>
      <c r="E243" s="66"/>
      <c r="F243" s="65"/>
      <c r="G243" s="67"/>
    </row>
    <row r="244" ht="15.75" customHeight="1">
      <c r="B244" s="65"/>
      <c r="C244" s="65"/>
      <c r="D244" s="65"/>
      <c r="E244" s="66"/>
      <c r="F244" s="65"/>
      <c r="G244" s="67"/>
    </row>
    <row r="245" ht="15.75" customHeight="1">
      <c r="B245" s="65"/>
      <c r="C245" s="65"/>
      <c r="D245" s="65"/>
      <c r="E245" s="66"/>
      <c r="F245" s="65"/>
      <c r="G245" s="67"/>
    </row>
    <row r="246" ht="15.75" customHeight="1">
      <c r="B246" s="65"/>
      <c r="C246" s="65"/>
      <c r="D246" s="65"/>
      <c r="E246" s="66"/>
      <c r="F246" s="65"/>
      <c r="G246" s="67"/>
    </row>
    <row r="247" ht="15.75" customHeight="1">
      <c r="B247" s="65"/>
      <c r="C247" s="65"/>
      <c r="D247" s="65"/>
      <c r="E247" s="66"/>
      <c r="F247" s="65"/>
      <c r="G247" s="67"/>
    </row>
    <row r="248" ht="15.75" customHeight="1">
      <c r="B248" s="65"/>
      <c r="C248" s="65"/>
      <c r="D248" s="65"/>
      <c r="E248" s="66"/>
      <c r="F248" s="65"/>
      <c r="G248" s="67"/>
    </row>
    <row r="249" ht="15.75" customHeight="1">
      <c r="B249" s="65"/>
      <c r="C249" s="65"/>
      <c r="D249" s="65"/>
      <c r="E249" s="66"/>
      <c r="F249" s="65"/>
      <c r="G249" s="67"/>
    </row>
    <row r="250" ht="15.75" customHeight="1">
      <c r="B250" s="65"/>
      <c r="C250" s="65"/>
      <c r="D250" s="65"/>
      <c r="E250" s="66"/>
      <c r="F250" s="65"/>
      <c r="G250" s="67"/>
    </row>
    <row r="251" ht="15.75" customHeight="1">
      <c r="B251" s="65"/>
      <c r="C251" s="65"/>
      <c r="D251" s="65"/>
      <c r="E251" s="66"/>
      <c r="F251" s="65"/>
      <c r="G251" s="67"/>
    </row>
    <row r="252" ht="15.75" customHeight="1">
      <c r="B252" s="65"/>
      <c r="C252" s="65"/>
      <c r="D252" s="65"/>
      <c r="E252" s="66"/>
      <c r="F252" s="65"/>
      <c r="G252" s="67"/>
    </row>
    <row r="253" ht="15.75" customHeight="1">
      <c r="B253" s="65"/>
      <c r="C253" s="65"/>
      <c r="D253" s="65"/>
      <c r="E253" s="66"/>
      <c r="F253" s="65"/>
      <c r="G253" s="67"/>
    </row>
    <row r="254" ht="15.75" customHeight="1">
      <c r="B254" s="65"/>
      <c r="C254" s="65"/>
      <c r="D254" s="65"/>
      <c r="E254" s="66"/>
      <c r="F254" s="65"/>
      <c r="G254" s="67"/>
    </row>
    <row r="255" ht="15.75" customHeight="1">
      <c r="B255" s="65"/>
      <c r="C255" s="65"/>
      <c r="D255" s="65"/>
      <c r="E255" s="66"/>
      <c r="F255" s="65"/>
      <c r="G255" s="67"/>
    </row>
    <row r="256" ht="15.75" customHeight="1">
      <c r="B256" s="65"/>
      <c r="C256" s="65"/>
      <c r="D256" s="65"/>
      <c r="E256" s="66"/>
      <c r="F256" s="65"/>
      <c r="G256" s="67"/>
    </row>
    <row r="257" ht="15.75" customHeight="1">
      <c r="B257" s="65"/>
      <c r="C257" s="65"/>
      <c r="D257" s="65"/>
      <c r="E257" s="66"/>
      <c r="F257" s="65"/>
      <c r="G257" s="67"/>
    </row>
    <row r="258" ht="15.75" customHeight="1">
      <c r="B258" s="65"/>
      <c r="C258" s="65"/>
      <c r="D258" s="65"/>
      <c r="E258" s="66"/>
      <c r="F258" s="65"/>
      <c r="G258" s="67"/>
    </row>
    <row r="259" ht="15.75" customHeight="1">
      <c r="B259" s="65"/>
      <c r="C259" s="65"/>
      <c r="D259" s="65"/>
      <c r="E259" s="66"/>
      <c r="F259" s="65"/>
      <c r="G259" s="67"/>
    </row>
    <row r="260" ht="15.75" customHeight="1">
      <c r="B260" s="65"/>
      <c r="C260" s="65"/>
      <c r="D260" s="65"/>
      <c r="E260" s="66"/>
      <c r="F260" s="65"/>
      <c r="G260" s="67"/>
    </row>
    <row r="261" ht="15.75" customHeight="1">
      <c r="B261" s="65"/>
      <c r="C261" s="65"/>
      <c r="D261" s="65"/>
      <c r="E261" s="66"/>
      <c r="F261" s="65"/>
      <c r="G261" s="67"/>
    </row>
    <row r="262" ht="15.75" customHeight="1">
      <c r="B262" s="65"/>
      <c r="C262" s="65"/>
      <c r="D262" s="65"/>
      <c r="E262" s="66"/>
      <c r="F262" s="65"/>
      <c r="G262" s="67"/>
    </row>
    <row r="263" ht="15.75" customHeight="1">
      <c r="B263" s="65"/>
      <c r="C263" s="65"/>
      <c r="D263" s="65"/>
      <c r="E263" s="66"/>
      <c r="F263" s="65"/>
      <c r="G263" s="67"/>
    </row>
    <row r="264" ht="15.75" customHeight="1">
      <c r="B264" s="65"/>
      <c r="C264" s="65"/>
      <c r="D264" s="65"/>
      <c r="E264" s="66"/>
      <c r="F264" s="65"/>
      <c r="G264" s="67"/>
    </row>
    <row r="265" ht="15.75" customHeight="1">
      <c r="B265" s="65"/>
      <c r="C265" s="65"/>
      <c r="D265" s="65"/>
      <c r="E265" s="66"/>
      <c r="F265" s="65"/>
      <c r="G265" s="67"/>
    </row>
    <row r="266" ht="15.75" customHeight="1">
      <c r="B266" s="65"/>
      <c r="C266" s="65"/>
      <c r="D266" s="65"/>
      <c r="E266" s="66"/>
      <c r="F266" s="65"/>
      <c r="G266" s="67"/>
    </row>
    <row r="267" ht="15.75" customHeight="1">
      <c r="B267" s="65"/>
      <c r="C267" s="65"/>
      <c r="D267" s="65"/>
      <c r="E267" s="66"/>
      <c r="F267" s="65"/>
      <c r="G267" s="67"/>
    </row>
    <row r="268" ht="15.75" customHeight="1">
      <c r="B268" s="65"/>
      <c r="C268" s="65"/>
      <c r="D268" s="65"/>
      <c r="E268" s="66"/>
      <c r="F268" s="65"/>
      <c r="G268" s="67"/>
    </row>
    <row r="269" ht="15.75" customHeight="1">
      <c r="B269" s="65"/>
      <c r="C269" s="65"/>
      <c r="D269" s="65"/>
      <c r="E269" s="66"/>
      <c r="F269" s="65"/>
      <c r="G269" s="67"/>
    </row>
    <row r="270" ht="15.75" customHeight="1">
      <c r="B270" s="65"/>
      <c r="C270" s="65"/>
      <c r="D270" s="65"/>
      <c r="E270" s="66"/>
      <c r="F270" s="65"/>
      <c r="G270" s="67"/>
    </row>
    <row r="271" ht="15.75" customHeight="1">
      <c r="B271" s="65"/>
      <c r="C271" s="65"/>
      <c r="D271" s="65"/>
      <c r="E271" s="66"/>
      <c r="F271" s="65"/>
      <c r="G271" s="67"/>
    </row>
    <row r="272" ht="15.75" customHeight="1">
      <c r="B272" s="65"/>
      <c r="C272" s="65"/>
      <c r="D272" s="65"/>
      <c r="E272" s="66"/>
      <c r="F272" s="65"/>
      <c r="G272" s="67"/>
    </row>
    <row r="273" ht="15.75" customHeight="1">
      <c r="B273" s="65"/>
      <c r="C273" s="65"/>
      <c r="D273" s="65"/>
      <c r="E273" s="66"/>
      <c r="F273" s="65"/>
      <c r="G273" s="67"/>
    </row>
    <row r="274" ht="15.75" customHeight="1">
      <c r="B274" s="65"/>
      <c r="C274" s="65"/>
      <c r="D274" s="65"/>
      <c r="E274" s="66"/>
      <c r="F274" s="65"/>
      <c r="G274" s="67"/>
    </row>
    <row r="275" ht="15.75" customHeight="1">
      <c r="B275" s="65"/>
      <c r="C275" s="65"/>
      <c r="D275" s="65"/>
      <c r="E275" s="66"/>
      <c r="F275" s="65"/>
      <c r="G275" s="67"/>
    </row>
    <row r="276" ht="15.75" customHeight="1">
      <c r="B276" s="65"/>
      <c r="C276" s="65"/>
      <c r="D276" s="65"/>
      <c r="E276" s="66"/>
      <c r="F276" s="65"/>
      <c r="G276" s="67"/>
    </row>
    <row r="277" ht="15.75" customHeight="1">
      <c r="B277" s="65"/>
      <c r="C277" s="65"/>
      <c r="D277" s="65"/>
      <c r="E277" s="66"/>
      <c r="F277" s="65"/>
      <c r="G277" s="67"/>
    </row>
    <row r="278" ht="15.75" customHeight="1">
      <c r="B278" s="65"/>
      <c r="C278" s="65"/>
      <c r="D278" s="65"/>
      <c r="E278" s="66"/>
      <c r="F278" s="65"/>
      <c r="G278" s="67"/>
    </row>
    <row r="279" ht="15.75" customHeight="1">
      <c r="B279" s="65"/>
      <c r="C279" s="65"/>
      <c r="D279" s="65"/>
      <c r="E279" s="66"/>
      <c r="F279" s="65"/>
      <c r="G279" s="67"/>
    </row>
    <row r="280" ht="15.75" customHeight="1">
      <c r="B280" s="65"/>
      <c r="C280" s="65"/>
      <c r="D280" s="65"/>
      <c r="E280" s="66"/>
      <c r="F280" s="65"/>
      <c r="G280" s="67"/>
    </row>
    <row r="281" ht="15.75" customHeight="1">
      <c r="B281" s="65"/>
      <c r="C281" s="65"/>
      <c r="D281" s="65"/>
      <c r="E281" s="66"/>
      <c r="F281" s="65"/>
      <c r="G281" s="67"/>
    </row>
    <row r="282" ht="15.75" customHeight="1">
      <c r="B282" s="65"/>
      <c r="C282" s="65"/>
      <c r="D282" s="65"/>
      <c r="E282" s="66"/>
      <c r="F282" s="65"/>
      <c r="G282" s="67"/>
    </row>
    <row r="283" ht="15.75" customHeight="1">
      <c r="B283" s="65"/>
      <c r="C283" s="65"/>
      <c r="D283" s="65"/>
      <c r="E283" s="66"/>
      <c r="F283" s="65"/>
      <c r="G283" s="67"/>
    </row>
    <row r="284" ht="15.75" customHeight="1">
      <c r="B284" s="65"/>
      <c r="C284" s="65"/>
      <c r="D284" s="65"/>
      <c r="E284" s="66"/>
      <c r="F284" s="65"/>
      <c r="G284" s="67"/>
    </row>
    <row r="285" ht="15.75" customHeight="1">
      <c r="B285" s="65"/>
      <c r="C285" s="65"/>
      <c r="D285" s="65"/>
      <c r="E285" s="66"/>
      <c r="F285" s="65"/>
      <c r="G285" s="67"/>
    </row>
    <row r="286" ht="15.75" customHeight="1">
      <c r="B286" s="65"/>
      <c r="C286" s="65"/>
      <c r="D286" s="65"/>
      <c r="E286" s="66"/>
      <c r="F286" s="65"/>
      <c r="G286" s="67"/>
    </row>
    <row r="287" ht="15.75" customHeight="1">
      <c r="B287" s="65"/>
      <c r="C287" s="65"/>
      <c r="D287" s="65"/>
      <c r="E287" s="66"/>
      <c r="F287" s="65"/>
      <c r="G287" s="67"/>
    </row>
    <row r="288" ht="15.75" customHeight="1">
      <c r="B288" s="65"/>
      <c r="C288" s="65"/>
      <c r="D288" s="65"/>
      <c r="E288" s="66"/>
      <c r="F288" s="65"/>
      <c r="G288" s="67"/>
    </row>
    <row r="289" ht="15.75" customHeight="1">
      <c r="B289" s="65"/>
      <c r="C289" s="65"/>
      <c r="D289" s="65"/>
      <c r="E289" s="66"/>
      <c r="F289" s="65"/>
      <c r="G289" s="67"/>
    </row>
    <row r="290" ht="15.75" customHeight="1">
      <c r="B290" s="65"/>
      <c r="C290" s="65"/>
      <c r="D290" s="65"/>
      <c r="E290" s="66"/>
      <c r="F290" s="65"/>
      <c r="G290" s="67"/>
    </row>
    <row r="291" ht="15.75" customHeight="1">
      <c r="B291" s="65"/>
      <c r="C291" s="65"/>
      <c r="D291" s="65"/>
      <c r="E291" s="66"/>
      <c r="F291" s="65"/>
      <c r="G291" s="67"/>
    </row>
    <row r="292" ht="15.75" customHeight="1">
      <c r="B292" s="65"/>
      <c r="C292" s="65"/>
      <c r="D292" s="65"/>
      <c r="E292" s="66"/>
      <c r="F292" s="65"/>
      <c r="G292" s="67"/>
    </row>
    <row r="293" ht="15.75" customHeight="1">
      <c r="B293" s="65"/>
      <c r="C293" s="65"/>
      <c r="D293" s="65"/>
      <c r="E293" s="66"/>
      <c r="F293" s="65"/>
      <c r="G293" s="67"/>
    </row>
    <row r="294" ht="15.75" customHeight="1">
      <c r="B294" s="65"/>
      <c r="C294" s="65"/>
      <c r="D294" s="65"/>
      <c r="E294" s="66"/>
      <c r="F294" s="65"/>
      <c r="G294" s="67"/>
    </row>
    <row r="295" ht="15.75" customHeight="1">
      <c r="B295" s="65"/>
      <c r="C295" s="65"/>
      <c r="D295" s="65"/>
      <c r="E295" s="66"/>
      <c r="F295" s="65"/>
      <c r="G295" s="67"/>
    </row>
    <row r="296" ht="15.75" customHeight="1">
      <c r="B296" s="65"/>
      <c r="C296" s="65"/>
      <c r="D296" s="65"/>
      <c r="E296" s="66"/>
      <c r="F296" s="65"/>
      <c r="G296" s="67"/>
    </row>
    <row r="297" ht="15.75" customHeight="1">
      <c r="B297" s="65"/>
      <c r="C297" s="65"/>
      <c r="D297" s="65"/>
      <c r="E297" s="66"/>
      <c r="F297" s="65"/>
      <c r="G297" s="67"/>
    </row>
    <row r="298" ht="15.75" customHeight="1">
      <c r="B298" s="65"/>
      <c r="C298" s="65"/>
      <c r="D298" s="65"/>
      <c r="E298" s="66"/>
      <c r="F298" s="65"/>
      <c r="G298" s="67"/>
    </row>
    <row r="299" ht="15.75" customHeight="1">
      <c r="B299" s="65"/>
      <c r="C299" s="65"/>
      <c r="D299" s="65"/>
      <c r="E299" s="66"/>
      <c r="F299" s="65"/>
      <c r="G299" s="67"/>
    </row>
    <row r="300" ht="15.75" customHeight="1">
      <c r="B300" s="65"/>
      <c r="C300" s="65"/>
      <c r="D300" s="65"/>
      <c r="E300" s="66"/>
      <c r="F300" s="65"/>
      <c r="G300" s="67"/>
    </row>
    <row r="301" ht="15.75" customHeight="1">
      <c r="B301" s="65"/>
      <c r="C301" s="65"/>
      <c r="D301" s="65"/>
      <c r="E301" s="66"/>
      <c r="F301" s="65"/>
      <c r="G301" s="67"/>
    </row>
    <row r="302" ht="15.75" customHeight="1">
      <c r="B302" s="65"/>
      <c r="C302" s="65"/>
      <c r="D302" s="65"/>
      <c r="E302" s="66"/>
      <c r="F302" s="65"/>
      <c r="G302" s="67"/>
    </row>
    <row r="303" ht="15.75" customHeight="1">
      <c r="B303" s="65"/>
      <c r="C303" s="65"/>
      <c r="D303" s="65"/>
      <c r="E303" s="66"/>
      <c r="F303" s="65"/>
      <c r="G303" s="67"/>
    </row>
    <row r="304" ht="15.75" customHeight="1">
      <c r="B304" s="65"/>
      <c r="C304" s="65"/>
      <c r="D304" s="65"/>
      <c r="E304" s="66"/>
      <c r="F304" s="65"/>
      <c r="G304" s="67"/>
    </row>
    <row r="305" ht="15.75" customHeight="1">
      <c r="B305" s="65"/>
      <c r="C305" s="65"/>
      <c r="D305" s="65"/>
      <c r="E305" s="66"/>
      <c r="F305" s="65"/>
      <c r="G305" s="67"/>
    </row>
    <row r="306" ht="15.75" customHeight="1">
      <c r="B306" s="65"/>
      <c r="C306" s="65"/>
      <c r="D306" s="65"/>
      <c r="E306" s="66"/>
      <c r="F306" s="65"/>
      <c r="G306" s="67"/>
    </row>
    <row r="307" ht="15.75" customHeight="1">
      <c r="B307" s="65"/>
      <c r="C307" s="65"/>
      <c r="D307" s="65"/>
      <c r="E307" s="66"/>
      <c r="F307" s="65"/>
      <c r="G307" s="67"/>
    </row>
    <row r="308" ht="15.75" customHeight="1">
      <c r="B308" s="65"/>
      <c r="C308" s="65"/>
      <c r="D308" s="65"/>
      <c r="E308" s="66"/>
      <c r="F308" s="65"/>
      <c r="G308" s="67"/>
    </row>
    <row r="309" ht="15.75" customHeight="1">
      <c r="B309" s="65"/>
      <c r="C309" s="65"/>
      <c r="D309" s="65"/>
      <c r="E309" s="66"/>
      <c r="F309" s="65"/>
      <c r="G309" s="67"/>
    </row>
    <row r="310" ht="15.75" customHeight="1">
      <c r="B310" s="65"/>
      <c r="C310" s="65"/>
      <c r="D310" s="65"/>
      <c r="E310" s="66"/>
      <c r="F310" s="65"/>
      <c r="G310" s="67"/>
    </row>
    <row r="311" ht="15.75" customHeight="1">
      <c r="B311" s="65"/>
      <c r="C311" s="65"/>
      <c r="D311" s="65"/>
      <c r="E311" s="66"/>
      <c r="F311" s="65"/>
      <c r="G311" s="67"/>
    </row>
    <row r="312" ht="15.75" customHeight="1">
      <c r="B312" s="65"/>
      <c r="C312" s="65"/>
      <c r="D312" s="65"/>
      <c r="E312" s="66"/>
      <c r="F312" s="65"/>
      <c r="G312" s="67"/>
    </row>
    <row r="313" ht="15.75" customHeight="1">
      <c r="B313" s="65"/>
      <c r="C313" s="65"/>
      <c r="D313" s="65"/>
      <c r="E313" s="66"/>
      <c r="F313" s="65"/>
      <c r="G313" s="67"/>
    </row>
    <row r="314" ht="15.75" customHeight="1">
      <c r="B314" s="65"/>
      <c r="C314" s="65"/>
      <c r="D314" s="65"/>
      <c r="E314" s="66"/>
      <c r="F314" s="65"/>
      <c r="G314" s="67"/>
    </row>
    <row r="315" ht="15.75" customHeight="1">
      <c r="B315" s="65"/>
      <c r="C315" s="65"/>
      <c r="D315" s="65"/>
      <c r="E315" s="66"/>
      <c r="F315" s="65"/>
      <c r="G315" s="67"/>
    </row>
    <row r="316" ht="15.75" customHeight="1">
      <c r="B316" s="65"/>
      <c r="C316" s="65"/>
      <c r="D316" s="65"/>
      <c r="E316" s="66"/>
      <c r="F316" s="65"/>
      <c r="G316" s="67"/>
    </row>
    <row r="317" ht="15.75" customHeight="1">
      <c r="B317" s="65"/>
      <c r="C317" s="65"/>
      <c r="D317" s="65"/>
      <c r="E317" s="66"/>
      <c r="F317" s="65"/>
      <c r="G317" s="67"/>
    </row>
    <row r="318" ht="15.75" customHeight="1">
      <c r="B318" s="65"/>
      <c r="C318" s="65"/>
      <c r="D318" s="65"/>
      <c r="E318" s="66"/>
      <c r="F318" s="65"/>
      <c r="G318" s="67"/>
    </row>
    <row r="319" ht="15.75" customHeight="1">
      <c r="B319" s="65"/>
      <c r="C319" s="65"/>
      <c r="D319" s="65"/>
      <c r="E319" s="66"/>
      <c r="F319" s="65"/>
      <c r="G319" s="67"/>
    </row>
    <row r="320" ht="15.75" customHeight="1">
      <c r="B320" s="65"/>
      <c r="C320" s="65"/>
      <c r="D320" s="65"/>
      <c r="E320" s="66"/>
      <c r="F320" s="65"/>
      <c r="G320" s="67"/>
    </row>
    <row r="321" ht="15.75" customHeight="1">
      <c r="B321" s="65"/>
      <c r="C321" s="65"/>
      <c r="D321" s="65"/>
      <c r="E321" s="66"/>
      <c r="F321" s="65"/>
      <c r="G321" s="67"/>
    </row>
    <row r="322" ht="15.75" customHeight="1">
      <c r="B322" s="65"/>
      <c r="C322" s="65"/>
      <c r="D322" s="65"/>
      <c r="E322" s="66"/>
      <c r="F322" s="65"/>
      <c r="G322" s="67"/>
    </row>
    <row r="323" ht="15.75" customHeight="1">
      <c r="B323" s="65"/>
      <c r="C323" s="65"/>
      <c r="D323" s="65"/>
      <c r="E323" s="66"/>
      <c r="F323" s="65"/>
      <c r="G323" s="67"/>
    </row>
    <row r="324" ht="15.75" customHeight="1">
      <c r="B324" s="65"/>
      <c r="C324" s="65"/>
      <c r="D324" s="65"/>
      <c r="E324" s="66"/>
      <c r="F324" s="65"/>
      <c r="G324" s="67"/>
    </row>
    <row r="325" ht="15.75" customHeight="1">
      <c r="B325" s="65"/>
      <c r="C325" s="65"/>
      <c r="D325" s="65"/>
      <c r="E325" s="66"/>
      <c r="F325" s="65"/>
      <c r="G325" s="67"/>
    </row>
    <row r="326" ht="15.75" customHeight="1">
      <c r="B326" s="65"/>
      <c r="C326" s="65"/>
      <c r="D326" s="65"/>
      <c r="E326" s="66"/>
      <c r="F326" s="65"/>
      <c r="G326" s="67"/>
    </row>
    <row r="327" ht="15.75" customHeight="1">
      <c r="B327" s="65"/>
      <c r="C327" s="65"/>
      <c r="D327" s="65"/>
      <c r="E327" s="66"/>
      <c r="F327" s="65"/>
      <c r="G327" s="67"/>
    </row>
    <row r="328" ht="15.75" customHeight="1">
      <c r="B328" s="65"/>
      <c r="C328" s="65"/>
      <c r="D328" s="65"/>
      <c r="E328" s="66"/>
      <c r="F328" s="65"/>
      <c r="G328" s="67"/>
    </row>
    <row r="329" ht="15.75" customHeight="1">
      <c r="B329" s="65"/>
      <c r="C329" s="65"/>
      <c r="D329" s="65"/>
      <c r="E329" s="66"/>
      <c r="F329" s="65"/>
      <c r="G329" s="67"/>
    </row>
    <row r="330" ht="15.75" customHeight="1">
      <c r="B330" s="65"/>
      <c r="C330" s="65"/>
      <c r="D330" s="65"/>
      <c r="E330" s="66"/>
      <c r="F330" s="65"/>
      <c r="G330" s="67"/>
    </row>
    <row r="331" ht="15.75" customHeight="1">
      <c r="B331" s="65"/>
      <c r="C331" s="65"/>
      <c r="D331" s="65"/>
      <c r="E331" s="66"/>
      <c r="F331" s="65"/>
      <c r="G331" s="67"/>
    </row>
    <row r="332" ht="15.75" customHeight="1">
      <c r="B332" s="65"/>
      <c r="C332" s="65"/>
      <c r="D332" s="65"/>
      <c r="E332" s="66"/>
      <c r="F332" s="65"/>
      <c r="G332" s="67"/>
    </row>
    <row r="333" ht="15.75" customHeight="1">
      <c r="B333" s="65"/>
      <c r="C333" s="65"/>
      <c r="D333" s="65"/>
      <c r="E333" s="66"/>
      <c r="F333" s="65"/>
      <c r="G333" s="67"/>
    </row>
    <row r="334" ht="15.75" customHeight="1">
      <c r="B334" s="65"/>
      <c r="C334" s="65"/>
      <c r="D334" s="65"/>
      <c r="E334" s="66"/>
      <c r="F334" s="65"/>
      <c r="G334" s="67"/>
    </row>
    <row r="335" ht="15.75" customHeight="1">
      <c r="B335" s="65"/>
      <c r="C335" s="65"/>
      <c r="D335" s="65"/>
      <c r="E335" s="66"/>
      <c r="F335" s="65"/>
      <c r="G335" s="67"/>
    </row>
    <row r="336" ht="15.75" customHeight="1">
      <c r="B336" s="65"/>
      <c r="C336" s="65"/>
      <c r="D336" s="65"/>
      <c r="E336" s="66"/>
      <c r="F336" s="65"/>
      <c r="G336" s="67"/>
    </row>
    <row r="337" ht="15.75" customHeight="1">
      <c r="B337" s="65"/>
      <c r="C337" s="65"/>
      <c r="D337" s="65"/>
      <c r="E337" s="66"/>
      <c r="F337" s="65"/>
      <c r="G337" s="67"/>
    </row>
    <row r="338" ht="15.75" customHeight="1">
      <c r="B338" s="65"/>
      <c r="C338" s="65"/>
      <c r="D338" s="65"/>
      <c r="E338" s="66"/>
      <c r="F338" s="65"/>
      <c r="G338" s="67"/>
    </row>
    <row r="339" ht="15.75" customHeight="1">
      <c r="B339" s="65"/>
      <c r="C339" s="65"/>
      <c r="D339" s="65"/>
      <c r="E339" s="66"/>
      <c r="F339" s="65"/>
      <c r="G339" s="67"/>
    </row>
    <row r="340" ht="15.75" customHeight="1">
      <c r="B340" s="65"/>
      <c r="C340" s="65"/>
      <c r="D340" s="65"/>
      <c r="E340" s="66"/>
      <c r="F340" s="65"/>
      <c r="G340" s="67"/>
    </row>
    <row r="341" ht="15.75" customHeight="1">
      <c r="B341" s="65"/>
      <c r="C341" s="65"/>
      <c r="D341" s="65"/>
      <c r="E341" s="66"/>
      <c r="F341" s="65"/>
      <c r="G341" s="67"/>
    </row>
    <row r="342" ht="15.75" customHeight="1">
      <c r="B342" s="65"/>
      <c r="C342" s="65"/>
      <c r="D342" s="65"/>
      <c r="E342" s="66"/>
      <c r="F342" s="65"/>
      <c r="G342" s="67"/>
    </row>
    <row r="343" ht="15.75" customHeight="1">
      <c r="B343" s="65"/>
      <c r="C343" s="65"/>
      <c r="D343" s="65"/>
      <c r="E343" s="66"/>
      <c r="F343" s="65"/>
      <c r="G343" s="67"/>
    </row>
    <row r="344" ht="15.75" customHeight="1">
      <c r="B344" s="65"/>
      <c r="C344" s="65"/>
      <c r="D344" s="65"/>
      <c r="E344" s="66"/>
      <c r="F344" s="65"/>
      <c r="G344" s="67"/>
    </row>
    <row r="345" ht="15.75" customHeight="1">
      <c r="B345" s="65"/>
      <c r="C345" s="65"/>
      <c r="D345" s="65"/>
      <c r="E345" s="66"/>
      <c r="F345" s="65"/>
      <c r="G345" s="67"/>
    </row>
    <row r="346" ht="15.75" customHeight="1">
      <c r="B346" s="65"/>
      <c r="C346" s="65"/>
      <c r="D346" s="65"/>
      <c r="E346" s="66"/>
      <c r="F346" s="65"/>
      <c r="G346" s="67"/>
    </row>
    <row r="347" ht="15.75" customHeight="1">
      <c r="B347" s="65"/>
      <c r="C347" s="65"/>
      <c r="D347" s="65"/>
      <c r="E347" s="66"/>
      <c r="F347" s="65"/>
      <c r="G347" s="67"/>
    </row>
    <row r="348" ht="15.75" customHeight="1">
      <c r="B348" s="65"/>
      <c r="C348" s="65"/>
      <c r="D348" s="65"/>
      <c r="E348" s="66"/>
      <c r="F348" s="65"/>
      <c r="G348" s="67"/>
    </row>
    <row r="349" ht="15.75" customHeight="1">
      <c r="B349" s="65"/>
      <c r="C349" s="65"/>
      <c r="D349" s="65"/>
      <c r="E349" s="66"/>
      <c r="F349" s="65"/>
      <c r="G349" s="67"/>
    </row>
    <row r="350" ht="15.75" customHeight="1">
      <c r="B350" s="65"/>
      <c r="C350" s="65"/>
      <c r="D350" s="65"/>
      <c r="E350" s="66"/>
      <c r="F350" s="65"/>
      <c r="G350" s="67"/>
    </row>
    <row r="351" ht="15.75" customHeight="1">
      <c r="B351" s="65"/>
      <c r="C351" s="65"/>
      <c r="D351" s="65"/>
      <c r="E351" s="66"/>
      <c r="F351" s="65"/>
      <c r="G351" s="67"/>
    </row>
    <row r="352" ht="15.75" customHeight="1">
      <c r="B352" s="65"/>
      <c r="C352" s="65"/>
      <c r="D352" s="65"/>
      <c r="E352" s="66"/>
      <c r="F352" s="65"/>
      <c r="G352" s="67"/>
    </row>
    <row r="353" ht="15.75" customHeight="1">
      <c r="B353" s="65"/>
      <c r="C353" s="65"/>
      <c r="D353" s="65"/>
      <c r="E353" s="66"/>
      <c r="F353" s="65"/>
      <c r="G353" s="67"/>
    </row>
    <row r="354" ht="15.75" customHeight="1">
      <c r="B354" s="65"/>
      <c r="C354" s="65"/>
      <c r="D354" s="65"/>
      <c r="E354" s="66"/>
      <c r="F354" s="65"/>
      <c r="G354" s="67"/>
    </row>
    <row r="355" ht="15.75" customHeight="1">
      <c r="B355" s="65"/>
      <c r="C355" s="65"/>
      <c r="D355" s="65"/>
      <c r="E355" s="66"/>
      <c r="F355" s="65"/>
      <c r="G355" s="67"/>
    </row>
    <row r="356" ht="15.75" customHeight="1">
      <c r="B356" s="65"/>
      <c r="C356" s="65"/>
      <c r="D356" s="65"/>
      <c r="E356" s="66"/>
      <c r="F356" s="65"/>
      <c r="G356" s="67"/>
    </row>
    <row r="357" ht="15.75" customHeight="1">
      <c r="B357" s="65"/>
      <c r="C357" s="65"/>
      <c r="D357" s="65"/>
      <c r="E357" s="66"/>
      <c r="F357" s="65"/>
      <c r="G357" s="67"/>
    </row>
    <row r="358" ht="15.75" customHeight="1">
      <c r="B358" s="65"/>
      <c r="C358" s="65"/>
      <c r="D358" s="65"/>
      <c r="E358" s="66"/>
      <c r="F358" s="65"/>
      <c r="G358" s="67"/>
    </row>
    <row r="359" ht="15.75" customHeight="1">
      <c r="B359" s="65"/>
      <c r="C359" s="65"/>
      <c r="D359" s="65"/>
      <c r="E359" s="66"/>
      <c r="F359" s="65"/>
      <c r="G359" s="67"/>
    </row>
    <row r="360" ht="15.75" customHeight="1">
      <c r="B360" s="65"/>
      <c r="C360" s="65"/>
      <c r="D360" s="65"/>
      <c r="E360" s="66"/>
      <c r="F360" s="65"/>
      <c r="G360" s="67"/>
    </row>
    <row r="361" ht="15.75" customHeight="1">
      <c r="B361" s="65"/>
      <c r="C361" s="65"/>
      <c r="D361" s="65"/>
      <c r="E361" s="66"/>
      <c r="F361" s="65"/>
      <c r="G361" s="67"/>
    </row>
    <row r="362" ht="15.75" customHeight="1">
      <c r="B362" s="65"/>
      <c r="C362" s="65"/>
      <c r="D362" s="65"/>
      <c r="E362" s="66"/>
      <c r="F362" s="65"/>
      <c r="G362" s="67"/>
    </row>
    <row r="363" ht="15.75" customHeight="1">
      <c r="B363" s="65"/>
      <c r="C363" s="65"/>
      <c r="D363" s="65"/>
      <c r="E363" s="66"/>
      <c r="F363" s="65"/>
      <c r="G363" s="67"/>
    </row>
    <row r="364" ht="15.75" customHeight="1">
      <c r="B364" s="65"/>
      <c r="C364" s="65"/>
      <c r="D364" s="65"/>
      <c r="E364" s="66"/>
      <c r="F364" s="65"/>
      <c r="G364" s="67"/>
    </row>
    <row r="365" ht="15.75" customHeight="1">
      <c r="B365" s="65"/>
      <c r="C365" s="65"/>
      <c r="D365" s="65"/>
      <c r="E365" s="66"/>
      <c r="F365" s="65"/>
      <c r="G365" s="67"/>
    </row>
    <row r="366" ht="15.75" customHeight="1">
      <c r="B366" s="65"/>
      <c r="C366" s="65"/>
      <c r="D366" s="65"/>
      <c r="E366" s="66"/>
      <c r="F366" s="65"/>
      <c r="G366" s="67"/>
    </row>
    <row r="367" ht="15.75" customHeight="1">
      <c r="B367" s="65"/>
      <c r="C367" s="65"/>
      <c r="D367" s="65"/>
      <c r="E367" s="66"/>
      <c r="F367" s="65"/>
      <c r="G367" s="67"/>
    </row>
    <row r="368" ht="15.75" customHeight="1">
      <c r="B368" s="65"/>
      <c r="C368" s="65"/>
      <c r="D368" s="65"/>
      <c r="E368" s="66"/>
      <c r="F368" s="65"/>
      <c r="G368" s="67"/>
    </row>
    <row r="369" ht="15.75" customHeight="1">
      <c r="B369" s="65"/>
      <c r="C369" s="65"/>
      <c r="D369" s="65"/>
      <c r="E369" s="66"/>
      <c r="F369" s="65"/>
      <c r="G369" s="67"/>
    </row>
    <row r="370" ht="15.75" customHeight="1">
      <c r="B370" s="65"/>
      <c r="C370" s="65"/>
      <c r="D370" s="65"/>
      <c r="E370" s="66"/>
      <c r="F370" s="65"/>
      <c r="G370" s="67"/>
    </row>
    <row r="371" ht="15.75" customHeight="1">
      <c r="B371" s="65"/>
      <c r="C371" s="65"/>
      <c r="D371" s="65"/>
      <c r="E371" s="66"/>
      <c r="F371" s="65"/>
      <c r="G371" s="67"/>
    </row>
    <row r="372" ht="15.75" customHeight="1">
      <c r="B372" s="65"/>
      <c r="C372" s="65"/>
      <c r="D372" s="65"/>
      <c r="E372" s="66"/>
      <c r="F372" s="65"/>
      <c r="G372" s="67"/>
    </row>
    <row r="373" ht="15.75" customHeight="1">
      <c r="B373" s="65"/>
      <c r="C373" s="65"/>
      <c r="D373" s="65"/>
      <c r="E373" s="66"/>
      <c r="F373" s="65"/>
      <c r="G373" s="67"/>
    </row>
    <row r="374" ht="15.75" customHeight="1">
      <c r="B374" s="65"/>
      <c r="C374" s="65"/>
      <c r="D374" s="65"/>
      <c r="E374" s="66"/>
      <c r="F374" s="65"/>
      <c r="G374" s="67"/>
    </row>
    <row r="375" ht="15.75" customHeight="1">
      <c r="B375" s="65"/>
      <c r="C375" s="65"/>
      <c r="D375" s="65"/>
      <c r="E375" s="66"/>
      <c r="F375" s="65"/>
      <c r="G375" s="67"/>
    </row>
    <row r="376" ht="15.75" customHeight="1">
      <c r="B376" s="65"/>
      <c r="C376" s="65"/>
      <c r="D376" s="65"/>
      <c r="E376" s="66"/>
      <c r="F376" s="65"/>
      <c r="G376" s="67"/>
    </row>
    <row r="377" ht="15.75" customHeight="1">
      <c r="B377" s="65"/>
      <c r="C377" s="65"/>
      <c r="D377" s="65"/>
      <c r="E377" s="66"/>
      <c r="F377" s="65"/>
      <c r="G377" s="67"/>
    </row>
    <row r="378" ht="15.75" customHeight="1">
      <c r="B378" s="65"/>
      <c r="C378" s="65"/>
      <c r="D378" s="65"/>
      <c r="E378" s="66"/>
      <c r="F378" s="65"/>
      <c r="G378" s="67"/>
    </row>
    <row r="379" ht="15.75" customHeight="1">
      <c r="B379" s="65"/>
      <c r="C379" s="65"/>
      <c r="D379" s="65"/>
      <c r="E379" s="66"/>
      <c r="F379" s="65"/>
      <c r="G379" s="67"/>
    </row>
    <row r="380" ht="15.75" customHeight="1">
      <c r="B380" s="65"/>
      <c r="C380" s="65"/>
      <c r="D380" s="65"/>
      <c r="E380" s="66"/>
      <c r="F380" s="65"/>
      <c r="G380" s="67"/>
    </row>
    <row r="381" ht="15.75" customHeight="1">
      <c r="B381" s="65"/>
      <c r="C381" s="65"/>
      <c r="D381" s="65"/>
      <c r="E381" s="66"/>
      <c r="F381" s="65"/>
      <c r="G381" s="67"/>
    </row>
    <row r="382" ht="15.75" customHeight="1">
      <c r="B382" s="65"/>
      <c r="C382" s="65"/>
      <c r="D382" s="65"/>
      <c r="E382" s="66"/>
      <c r="F382" s="65"/>
      <c r="G382" s="67"/>
    </row>
    <row r="383" ht="15.75" customHeight="1">
      <c r="B383" s="65"/>
      <c r="C383" s="65"/>
      <c r="D383" s="65"/>
      <c r="E383" s="66"/>
      <c r="F383" s="65"/>
      <c r="G383" s="67"/>
    </row>
    <row r="384" ht="15.75" customHeight="1">
      <c r="B384" s="65"/>
      <c r="C384" s="65"/>
      <c r="D384" s="65"/>
      <c r="E384" s="66"/>
      <c r="F384" s="65"/>
      <c r="G384" s="67"/>
    </row>
    <row r="385" ht="15.75" customHeight="1">
      <c r="B385" s="65"/>
      <c r="C385" s="65"/>
      <c r="D385" s="65"/>
      <c r="E385" s="66"/>
      <c r="F385" s="65"/>
      <c r="G385" s="67"/>
    </row>
    <row r="386" ht="15.75" customHeight="1">
      <c r="B386" s="65"/>
      <c r="C386" s="65"/>
      <c r="D386" s="65"/>
      <c r="E386" s="66"/>
      <c r="F386" s="65"/>
      <c r="G386" s="67"/>
    </row>
    <row r="387" ht="15.75" customHeight="1">
      <c r="B387" s="65"/>
      <c r="C387" s="65"/>
      <c r="D387" s="65"/>
      <c r="E387" s="66"/>
      <c r="F387" s="65"/>
      <c r="G387" s="67"/>
    </row>
    <row r="388" ht="15.75" customHeight="1">
      <c r="B388" s="65"/>
      <c r="C388" s="65"/>
      <c r="D388" s="65"/>
      <c r="E388" s="66"/>
      <c r="F388" s="65"/>
      <c r="G388" s="67"/>
    </row>
    <row r="389" ht="15.75" customHeight="1">
      <c r="B389" s="65"/>
      <c r="C389" s="65"/>
      <c r="D389" s="65"/>
      <c r="E389" s="66"/>
      <c r="F389" s="65"/>
      <c r="G389" s="67"/>
    </row>
    <row r="390" ht="15.75" customHeight="1">
      <c r="B390" s="65"/>
      <c r="C390" s="65"/>
      <c r="D390" s="65"/>
      <c r="E390" s="66"/>
      <c r="F390" s="65"/>
      <c r="G390" s="67"/>
    </row>
    <row r="391" ht="15.75" customHeight="1">
      <c r="B391" s="65"/>
      <c r="C391" s="65"/>
      <c r="D391" s="65"/>
      <c r="E391" s="66"/>
      <c r="F391" s="65"/>
      <c r="G391" s="67"/>
    </row>
    <row r="392" ht="15.75" customHeight="1">
      <c r="B392" s="65"/>
      <c r="C392" s="65"/>
      <c r="D392" s="65"/>
      <c r="E392" s="66"/>
      <c r="F392" s="65"/>
      <c r="G392" s="67"/>
    </row>
    <row r="393" ht="15.75" customHeight="1">
      <c r="B393" s="65"/>
      <c r="C393" s="65"/>
      <c r="D393" s="65"/>
      <c r="E393" s="66"/>
      <c r="F393" s="65"/>
      <c r="G393" s="67"/>
    </row>
    <row r="394" ht="15.75" customHeight="1">
      <c r="B394" s="65"/>
      <c r="C394" s="65"/>
      <c r="D394" s="65"/>
      <c r="E394" s="66"/>
      <c r="F394" s="65"/>
      <c r="G394" s="67"/>
    </row>
    <row r="395" ht="15.75" customHeight="1">
      <c r="B395" s="65"/>
      <c r="C395" s="65"/>
      <c r="D395" s="65"/>
      <c r="E395" s="66"/>
      <c r="F395" s="65"/>
      <c r="G395" s="67"/>
    </row>
    <row r="396" ht="15.75" customHeight="1">
      <c r="B396" s="65"/>
      <c r="C396" s="65"/>
      <c r="D396" s="65"/>
      <c r="E396" s="66"/>
      <c r="F396" s="65"/>
      <c r="G396" s="67"/>
    </row>
    <row r="397" ht="15.75" customHeight="1">
      <c r="B397" s="65"/>
      <c r="C397" s="65"/>
      <c r="D397" s="65"/>
      <c r="E397" s="66"/>
      <c r="F397" s="65"/>
      <c r="G397" s="67"/>
    </row>
    <row r="398" ht="15.75" customHeight="1">
      <c r="B398" s="65"/>
      <c r="C398" s="65"/>
      <c r="D398" s="65"/>
      <c r="E398" s="66"/>
      <c r="F398" s="65"/>
      <c r="G398" s="67"/>
    </row>
    <row r="399" ht="15.75" customHeight="1">
      <c r="B399" s="65"/>
      <c r="C399" s="65"/>
      <c r="D399" s="65"/>
      <c r="E399" s="66"/>
      <c r="F399" s="65"/>
      <c r="G399" s="67"/>
    </row>
    <row r="400" ht="15.75" customHeight="1">
      <c r="B400" s="65"/>
      <c r="C400" s="65"/>
      <c r="D400" s="65"/>
      <c r="E400" s="66"/>
      <c r="F400" s="65"/>
      <c r="G400" s="67"/>
    </row>
    <row r="401" ht="15.75" customHeight="1">
      <c r="B401" s="65"/>
      <c r="C401" s="65"/>
      <c r="D401" s="65"/>
      <c r="E401" s="66"/>
      <c r="F401" s="65"/>
      <c r="G401" s="67"/>
    </row>
    <row r="402" ht="15.75" customHeight="1">
      <c r="B402" s="65"/>
      <c r="C402" s="65"/>
      <c r="D402" s="65"/>
      <c r="E402" s="66"/>
      <c r="F402" s="65"/>
      <c r="G402" s="67"/>
    </row>
    <row r="403" ht="15.75" customHeight="1">
      <c r="B403" s="65"/>
      <c r="C403" s="65"/>
      <c r="D403" s="65"/>
      <c r="E403" s="66"/>
      <c r="F403" s="65"/>
      <c r="G403" s="67"/>
    </row>
    <row r="404" ht="15.75" customHeight="1">
      <c r="B404" s="65"/>
      <c r="C404" s="65"/>
      <c r="D404" s="65"/>
      <c r="E404" s="66"/>
      <c r="F404" s="65"/>
      <c r="G404" s="67"/>
    </row>
    <row r="405" ht="15.75" customHeight="1">
      <c r="B405" s="65"/>
      <c r="C405" s="65"/>
      <c r="D405" s="65"/>
      <c r="E405" s="66"/>
      <c r="F405" s="65"/>
      <c r="G405" s="67"/>
    </row>
    <row r="406" ht="15.75" customHeight="1">
      <c r="B406" s="65"/>
      <c r="C406" s="65"/>
      <c r="D406" s="65"/>
      <c r="E406" s="66"/>
      <c r="F406" s="65"/>
      <c r="G406" s="67"/>
    </row>
    <row r="407" ht="15.75" customHeight="1">
      <c r="B407" s="65"/>
      <c r="C407" s="65"/>
      <c r="D407" s="65"/>
      <c r="E407" s="66"/>
      <c r="F407" s="65"/>
      <c r="G407" s="67"/>
    </row>
    <row r="408" ht="15.75" customHeight="1">
      <c r="B408" s="65"/>
      <c r="C408" s="65"/>
      <c r="D408" s="65"/>
      <c r="E408" s="66"/>
      <c r="F408" s="65"/>
      <c r="G408" s="67"/>
    </row>
    <row r="409" ht="15.75" customHeight="1">
      <c r="B409" s="65"/>
      <c r="C409" s="65"/>
      <c r="D409" s="65"/>
      <c r="E409" s="66"/>
      <c r="F409" s="65"/>
      <c r="G409" s="67"/>
    </row>
    <row r="410" ht="15.75" customHeight="1">
      <c r="B410" s="65"/>
      <c r="C410" s="65"/>
      <c r="D410" s="65"/>
      <c r="E410" s="66"/>
      <c r="F410" s="65"/>
      <c r="G410" s="67"/>
    </row>
    <row r="411" ht="15.75" customHeight="1">
      <c r="B411" s="65"/>
      <c r="C411" s="65"/>
      <c r="D411" s="65"/>
      <c r="E411" s="66"/>
      <c r="F411" s="65"/>
      <c r="G411" s="67"/>
    </row>
    <row r="412" ht="15.75" customHeight="1">
      <c r="B412" s="65"/>
      <c r="C412" s="65"/>
      <c r="D412" s="65"/>
      <c r="E412" s="66"/>
      <c r="F412" s="65"/>
      <c r="G412" s="67"/>
    </row>
    <row r="413" ht="15.75" customHeight="1">
      <c r="B413" s="65"/>
      <c r="C413" s="65"/>
      <c r="D413" s="65"/>
      <c r="E413" s="66"/>
      <c r="F413" s="65"/>
      <c r="G413" s="67"/>
    </row>
    <row r="414" ht="15.75" customHeight="1">
      <c r="B414" s="65"/>
      <c r="C414" s="65"/>
      <c r="D414" s="65"/>
      <c r="E414" s="66"/>
      <c r="F414" s="65"/>
      <c r="G414" s="67"/>
    </row>
    <row r="415" ht="15.75" customHeight="1">
      <c r="B415" s="65"/>
      <c r="C415" s="65"/>
      <c r="D415" s="65"/>
      <c r="E415" s="66"/>
      <c r="F415" s="65"/>
      <c r="G415" s="67"/>
    </row>
    <row r="416" ht="15.75" customHeight="1">
      <c r="B416" s="65"/>
      <c r="C416" s="65"/>
      <c r="D416" s="65"/>
      <c r="E416" s="66"/>
      <c r="F416" s="65"/>
      <c r="G416" s="67"/>
    </row>
    <row r="417" ht="15.75" customHeight="1">
      <c r="B417" s="65"/>
      <c r="C417" s="65"/>
      <c r="D417" s="65"/>
      <c r="E417" s="66"/>
      <c r="F417" s="65"/>
      <c r="G417" s="67"/>
    </row>
    <row r="418" ht="15.75" customHeight="1">
      <c r="B418" s="65"/>
      <c r="C418" s="65"/>
      <c r="D418" s="65"/>
      <c r="E418" s="66"/>
      <c r="F418" s="65"/>
      <c r="G418" s="67"/>
    </row>
    <row r="419" ht="15.75" customHeight="1">
      <c r="B419" s="65"/>
      <c r="C419" s="65"/>
      <c r="D419" s="65"/>
      <c r="E419" s="66"/>
      <c r="F419" s="65"/>
      <c r="G419" s="67"/>
    </row>
    <row r="420" ht="15.75" customHeight="1">
      <c r="B420" s="65"/>
      <c r="C420" s="65"/>
      <c r="D420" s="65"/>
      <c r="E420" s="66"/>
      <c r="F420" s="65"/>
      <c r="G420" s="67"/>
    </row>
    <row r="421" ht="15.75" customHeight="1">
      <c r="B421" s="65"/>
      <c r="C421" s="65"/>
      <c r="D421" s="65"/>
      <c r="E421" s="66"/>
      <c r="F421" s="65"/>
      <c r="G421" s="67"/>
    </row>
    <row r="422" ht="15.75" customHeight="1">
      <c r="B422" s="65"/>
      <c r="C422" s="65"/>
      <c r="D422" s="65"/>
      <c r="E422" s="66"/>
      <c r="F422" s="65"/>
      <c r="G422" s="67"/>
    </row>
    <row r="423" ht="15.75" customHeight="1">
      <c r="B423" s="65"/>
      <c r="C423" s="65"/>
      <c r="D423" s="65"/>
      <c r="E423" s="66"/>
      <c r="F423" s="65"/>
      <c r="G423" s="67"/>
    </row>
    <row r="424" ht="15.75" customHeight="1">
      <c r="B424" s="65"/>
      <c r="C424" s="65"/>
      <c r="D424" s="65"/>
      <c r="E424" s="66"/>
      <c r="F424" s="65"/>
      <c r="G424" s="67"/>
    </row>
    <row r="425" ht="15.75" customHeight="1">
      <c r="B425" s="65"/>
      <c r="C425" s="65"/>
      <c r="D425" s="65"/>
      <c r="E425" s="66"/>
      <c r="F425" s="65"/>
      <c r="G425" s="67"/>
    </row>
    <row r="426" ht="15.75" customHeight="1">
      <c r="B426" s="65"/>
      <c r="C426" s="65"/>
      <c r="D426" s="65"/>
      <c r="E426" s="66"/>
      <c r="F426" s="65"/>
      <c r="G426" s="67"/>
    </row>
    <row r="427" ht="15.75" customHeight="1">
      <c r="B427" s="65"/>
      <c r="C427" s="65"/>
      <c r="D427" s="65"/>
      <c r="E427" s="66"/>
      <c r="F427" s="65"/>
      <c r="G427" s="67"/>
    </row>
    <row r="428" ht="15.75" customHeight="1">
      <c r="B428" s="65"/>
      <c r="C428" s="65"/>
      <c r="D428" s="65"/>
      <c r="E428" s="66"/>
      <c r="F428" s="65"/>
      <c r="G428" s="67"/>
    </row>
    <row r="429" ht="15.75" customHeight="1">
      <c r="B429" s="65"/>
      <c r="C429" s="65"/>
      <c r="D429" s="65"/>
      <c r="E429" s="66"/>
      <c r="F429" s="65"/>
      <c r="G429" s="67"/>
    </row>
    <row r="430" ht="15.75" customHeight="1">
      <c r="B430" s="65"/>
      <c r="C430" s="65"/>
      <c r="D430" s="65"/>
      <c r="E430" s="66"/>
      <c r="F430" s="65"/>
      <c r="G430" s="67"/>
    </row>
    <row r="431" ht="15.75" customHeight="1">
      <c r="B431" s="65"/>
      <c r="C431" s="65"/>
      <c r="D431" s="65"/>
      <c r="E431" s="66"/>
      <c r="F431" s="65"/>
      <c r="G431" s="67"/>
    </row>
    <row r="432" ht="15.75" customHeight="1">
      <c r="B432" s="65"/>
      <c r="C432" s="65"/>
      <c r="D432" s="65"/>
      <c r="E432" s="66"/>
      <c r="F432" s="65"/>
      <c r="G432" s="67"/>
    </row>
    <row r="433" ht="15.75" customHeight="1">
      <c r="B433" s="65"/>
      <c r="C433" s="65"/>
      <c r="D433" s="65"/>
      <c r="E433" s="66"/>
      <c r="F433" s="65"/>
      <c r="G433" s="67"/>
    </row>
    <row r="434" ht="15.75" customHeight="1">
      <c r="B434" s="65"/>
      <c r="C434" s="65"/>
      <c r="D434" s="65"/>
      <c r="E434" s="66"/>
      <c r="F434" s="65"/>
      <c r="G434" s="67"/>
    </row>
    <row r="435" ht="15.75" customHeight="1">
      <c r="B435" s="65"/>
      <c r="C435" s="65"/>
      <c r="D435" s="65"/>
      <c r="E435" s="66"/>
      <c r="F435" s="65"/>
      <c r="G435" s="67"/>
    </row>
    <row r="436" ht="15.75" customHeight="1">
      <c r="B436" s="65"/>
      <c r="C436" s="65"/>
      <c r="D436" s="65"/>
      <c r="E436" s="66"/>
      <c r="F436" s="65"/>
      <c r="G436" s="67"/>
    </row>
    <row r="437" ht="15.75" customHeight="1">
      <c r="B437" s="65"/>
      <c r="C437" s="65"/>
      <c r="D437" s="65"/>
      <c r="E437" s="66"/>
      <c r="F437" s="65"/>
      <c r="G437" s="67"/>
    </row>
    <row r="438" ht="15.75" customHeight="1">
      <c r="B438" s="65"/>
      <c r="C438" s="65"/>
      <c r="D438" s="65"/>
      <c r="E438" s="66"/>
      <c r="F438" s="65"/>
      <c r="G438" s="67"/>
    </row>
    <row r="439" ht="15.75" customHeight="1">
      <c r="B439" s="65"/>
      <c r="C439" s="65"/>
      <c r="D439" s="65"/>
      <c r="E439" s="66"/>
      <c r="F439" s="65"/>
      <c r="G439" s="67"/>
    </row>
    <row r="440" ht="15.75" customHeight="1">
      <c r="B440" s="65"/>
      <c r="C440" s="65"/>
      <c r="D440" s="65"/>
      <c r="E440" s="66"/>
      <c r="F440" s="65"/>
      <c r="G440" s="67"/>
    </row>
    <row r="441" ht="15.75" customHeight="1">
      <c r="B441" s="65"/>
      <c r="C441" s="65"/>
      <c r="D441" s="65"/>
      <c r="E441" s="66"/>
      <c r="F441" s="65"/>
      <c r="G441" s="67"/>
    </row>
    <row r="442" ht="15.75" customHeight="1">
      <c r="B442" s="65"/>
      <c r="C442" s="65"/>
      <c r="D442" s="65"/>
      <c r="E442" s="66"/>
      <c r="F442" s="65"/>
      <c r="G442" s="67"/>
    </row>
    <row r="443" ht="15.75" customHeight="1">
      <c r="B443" s="65"/>
      <c r="C443" s="65"/>
      <c r="D443" s="65"/>
      <c r="E443" s="66"/>
      <c r="F443" s="65"/>
      <c r="G443" s="67"/>
    </row>
    <row r="444" ht="15.75" customHeight="1">
      <c r="B444" s="65"/>
      <c r="C444" s="65"/>
      <c r="D444" s="65"/>
      <c r="E444" s="66"/>
      <c r="F444" s="65"/>
      <c r="G444" s="67"/>
    </row>
    <row r="445" ht="15.75" customHeight="1">
      <c r="B445" s="65"/>
      <c r="C445" s="65"/>
      <c r="D445" s="65"/>
      <c r="E445" s="66"/>
      <c r="F445" s="65"/>
      <c r="G445" s="67"/>
    </row>
    <row r="446" ht="15.75" customHeight="1">
      <c r="B446" s="65"/>
      <c r="C446" s="65"/>
      <c r="D446" s="65"/>
      <c r="E446" s="66"/>
      <c r="F446" s="65"/>
      <c r="G446" s="67"/>
    </row>
    <row r="447" ht="15.75" customHeight="1">
      <c r="B447" s="65"/>
      <c r="C447" s="65"/>
      <c r="D447" s="65"/>
      <c r="E447" s="66"/>
      <c r="F447" s="65"/>
      <c r="G447" s="67"/>
    </row>
    <row r="448" ht="15.75" customHeight="1">
      <c r="B448" s="65"/>
      <c r="C448" s="65"/>
      <c r="D448" s="65"/>
      <c r="E448" s="66"/>
      <c r="F448" s="65"/>
      <c r="G448" s="67"/>
    </row>
    <row r="449" ht="15.75" customHeight="1">
      <c r="B449" s="65"/>
      <c r="C449" s="65"/>
      <c r="D449" s="65"/>
      <c r="E449" s="66"/>
      <c r="F449" s="65"/>
      <c r="G449" s="67"/>
    </row>
    <row r="450" ht="15.75" customHeight="1">
      <c r="B450" s="65"/>
      <c r="C450" s="65"/>
      <c r="D450" s="65"/>
      <c r="E450" s="66"/>
      <c r="F450" s="65"/>
      <c r="G450" s="67"/>
    </row>
    <row r="451" ht="15.75" customHeight="1">
      <c r="B451" s="65"/>
      <c r="C451" s="65"/>
      <c r="D451" s="65"/>
      <c r="E451" s="66"/>
      <c r="F451" s="65"/>
      <c r="G451" s="67"/>
    </row>
    <row r="452" ht="15.75" customHeight="1">
      <c r="B452" s="65"/>
      <c r="C452" s="65"/>
      <c r="D452" s="65"/>
      <c r="E452" s="66"/>
      <c r="F452" s="65"/>
      <c r="G452" s="67"/>
    </row>
    <row r="453" ht="15.75" customHeight="1">
      <c r="B453" s="65"/>
      <c r="C453" s="65"/>
      <c r="D453" s="65"/>
      <c r="E453" s="66"/>
      <c r="F453" s="65"/>
      <c r="G453" s="67"/>
    </row>
    <row r="454" ht="15.75" customHeight="1">
      <c r="B454" s="65"/>
      <c r="C454" s="65"/>
      <c r="D454" s="65"/>
      <c r="E454" s="66"/>
      <c r="F454" s="65"/>
      <c r="G454" s="67"/>
    </row>
    <row r="455" ht="15.75" customHeight="1">
      <c r="B455" s="65"/>
      <c r="C455" s="65"/>
      <c r="D455" s="65"/>
      <c r="E455" s="66"/>
      <c r="F455" s="65"/>
      <c r="G455" s="67"/>
    </row>
    <row r="456" ht="15.75" customHeight="1">
      <c r="B456" s="65"/>
      <c r="C456" s="65"/>
      <c r="D456" s="65"/>
      <c r="E456" s="66"/>
      <c r="F456" s="65"/>
      <c r="G456" s="67"/>
    </row>
    <row r="457" ht="15.75" customHeight="1">
      <c r="B457" s="65"/>
      <c r="C457" s="65"/>
      <c r="D457" s="65"/>
      <c r="E457" s="66"/>
      <c r="F457" s="65"/>
      <c r="G457" s="67"/>
    </row>
    <row r="458" ht="15.75" customHeight="1">
      <c r="B458" s="65"/>
      <c r="C458" s="65"/>
      <c r="D458" s="65"/>
      <c r="E458" s="66"/>
      <c r="F458" s="65"/>
      <c r="G458" s="67"/>
    </row>
    <row r="459" ht="15.75" customHeight="1">
      <c r="B459" s="65"/>
      <c r="C459" s="65"/>
      <c r="D459" s="65"/>
      <c r="E459" s="66"/>
      <c r="F459" s="65"/>
      <c r="G459" s="67"/>
    </row>
    <row r="460" ht="15.75" customHeight="1">
      <c r="B460" s="65"/>
      <c r="C460" s="65"/>
      <c r="D460" s="65"/>
      <c r="E460" s="66"/>
      <c r="F460" s="65"/>
      <c r="G460" s="67"/>
    </row>
    <row r="461" ht="15.75" customHeight="1">
      <c r="B461" s="65"/>
      <c r="C461" s="65"/>
      <c r="D461" s="65"/>
      <c r="E461" s="66"/>
      <c r="F461" s="65"/>
      <c r="G461" s="67"/>
    </row>
    <row r="462" ht="15.75" customHeight="1">
      <c r="B462" s="65"/>
      <c r="C462" s="65"/>
      <c r="D462" s="65"/>
      <c r="E462" s="66"/>
      <c r="F462" s="65"/>
      <c r="G462" s="67"/>
    </row>
    <row r="463" ht="15.75" customHeight="1">
      <c r="B463" s="65"/>
      <c r="C463" s="65"/>
      <c r="D463" s="65"/>
      <c r="E463" s="66"/>
      <c r="F463" s="65"/>
      <c r="G463" s="67"/>
    </row>
    <row r="464" ht="15.75" customHeight="1">
      <c r="B464" s="65"/>
      <c r="C464" s="65"/>
      <c r="D464" s="65"/>
      <c r="E464" s="66"/>
      <c r="F464" s="65"/>
      <c r="G464" s="67"/>
    </row>
    <row r="465" ht="15.75" customHeight="1">
      <c r="B465" s="65"/>
      <c r="C465" s="65"/>
      <c r="D465" s="65"/>
      <c r="E465" s="66"/>
      <c r="F465" s="65"/>
      <c r="G465" s="67"/>
    </row>
    <row r="466" ht="15.75" customHeight="1">
      <c r="B466" s="65"/>
      <c r="C466" s="65"/>
      <c r="D466" s="65"/>
      <c r="E466" s="66"/>
      <c r="F466" s="65"/>
      <c r="G466" s="67"/>
    </row>
    <row r="467" ht="15.75" customHeight="1">
      <c r="B467" s="65"/>
      <c r="C467" s="65"/>
      <c r="D467" s="65"/>
      <c r="E467" s="66"/>
      <c r="F467" s="65"/>
      <c r="G467" s="67"/>
    </row>
    <row r="468" ht="15.75" customHeight="1">
      <c r="B468" s="65"/>
      <c r="C468" s="65"/>
      <c r="D468" s="65"/>
      <c r="E468" s="66"/>
      <c r="F468" s="65"/>
      <c r="G468" s="67"/>
    </row>
    <row r="469" ht="15.75" customHeight="1">
      <c r="B469" s="65"/>
      <c r="C469" s="65"/>
      <c r="D469" s="65"/>
      <c r="E469" s="66"/>
      <c r="F469" s="65"/>
      <c r="G469" s="67"/>
    </row>
    <row r="470" ht="15.75" customHeight="1">
      <c r="B470" s="65"/>
      <c r="C470" s="65"/>
      <c r="D470" s="65"/>
      <c r="E470" s="66"/>
      <c r="F470" s="65"/>
      <c r="G470" s="67"/>
    </row>
    <row r="471" ht="15.75" customHeight="1">
      <c r="B471" s="65"/>
      <c r="C471" s="65"/>
      <c r="D471" s="65"/>
      <c r="E471" s="66"/>
      <c r="F471" s="65"/>
      <c r="G471" s="67"/>
    </row>
    <row r="472" ht="15.75" customHeight="1">
      <c r="B472" s="65"/>
      <c r="C472" s="65"/>
      <c r="D472" s="65"/>
      <c r="E472" s="66"/>
      <c r="F472" s="65"/>
      <c r="G472" s="67"/>
    </row>
    <row r="473" ht="15.75" customHeight="1">
      <c r="B473" s="65"/>
      <c r="C473" s="65"/>
      <c r="D473" s="65"/>
      <c r="E473" s="66"/>
      <c r="F473" s="65"/>
      <c r="G473" s="67"/>
    </row>
    <row r="474" ht="15.75" customHeight="1">
      <c r="B474" s="65"/>
      <c r="C474" s="65"/>
      <c r="D474" s="65"/>
      <c r="E474" s="66"/>
      <c r="F474" s="65"/>
      <c r="G474" s="67"/>
    </row>
    <row r="475" ht="15.75" customHeight="1">
      <c r="B475" s="65"/>
      <c r="C475" s="65"/>
      <c r="D475" s="65"/>
      <c r="E475" s="66"/>
      <c r="F475" s="65"/>
      <c r="G475" s="67"/>
    </row>
    <row r="476" ht="15.75" customHeight="1">
      <c r="B476" s="65"/>
      <c r="C476" s="65"/>
      <c r="D476" s="65"/>
      <c r="E476" s="66"/>
      <c r="F476" s="65"/>
      <c r="G476" s="67"/>
    </row>
    <row r="477" ht="15.75" customHeight="1">
      <c r="B477" s="65"/>
      <c r="C477" s="65"/>
      <c r="D477" s="65"/>
      <c r="E477" s="66"/>
      <c r="F477" s="65"/>
      <c r="G477" s="67"/>
    </row>
    <row r="478" ht="15.75" customHeight="1">
      <c r="B478" s="65"/>
      <c r="C478" s="65"/>
      <c r="D478" s="65"/>
      <c r="E478" s="66"/>
      <c r="F478" s="65"/>
      <c r="G478" s="67"/>
    </row>
    <row r="479" ht="15.75" customHeight="1">
      <c r="B479" s="65"/>
      <c r="C479" s="65"/>
      <c r="D479" s="65"/>
      <c r="E479" s="66"/>
      <c r="F479" s="65"/>
      <c r="G479" s="67"/>
    </row>
    <row r="480" ht="15.75" customHeight="1">
      <c r="B480" s="65"/>
      <c r="C480" s="65"/>
      <c r="D480" s="65"/>
      <c r="E480" s="66"/>
      <c r="F480" s="65"/>
      <c r="G480" s="67"/>
    </row>
    <row r="481" ht="15.75" customHeight="1">
      <c r="B481" s="65"/>
      <c r="C481" s="65"/>
      <c r="D481" s="65"/>
      <c r="E481" s="66"/>
      <c r="F481" s="65"/>
      <c r="G481" s="67"/>
    </row>
    <row r="482" ht="15.75" customHeight="1">
      <c r="B482" s="65"/>
      <c r="C482" s="65"/>
      <c r="D482" s="65"/>
      <c r="E482" s="66"/>
      <c r="F482" s="65"/>
      <c r="G482" s="67"/>
    </row>
    <row r="483" ht="15.75" customHeight="1">
      <c r="B483" s="65"/>
      <c r="C483" s="65"/>
      <c r="D483" s="65"/>
      <c r="E483" s="66"/>
      <c r="F483" s="65"/>
      <c r="G483" s="67"/>
    </row>
    <row r="484" ht="15.75" customHeight="1">
      <c r="B484" s="65"/>
      <c r="C484" s="65"/>
      <c r="D484" s="65"/>
      <c r="E484" s="66"/>
      <c r="F484" s="65"/>
      <c r="G484" s="67"/>
    </row>
    <row r="485" ht="15.75" customHeight="1">
      <c r="B485" s="65"/>
      <c r="C485" s="65"/>
      <c r="D485" s="65"/>
      <c r="E485" s="66"/>
      <c r="F485" s="65"/>
      <c r="G485" s="67"/>
    </row>
    <row r="486" ht="15.75" customHeight="1">
      <c r="B486" s="65"/>
      <c r="C486" s="65"/>
      <c r="D486" s="65"/>
      <c r="E486" s="66"/>
      <c r="F486" s="65"/>
      <c r="G486" s="67"/>
    </row>
    <row r="487" ht="15.75" customHeight="1">
      <c r="B487" s="65"/>
      <c r="C487" s="65"/>
      <c r="D487" s="65"/>
      <c r="E487" s="66"/>
      <c r="F487" s="65"/>
      <c r="G487" s="67"/>
    </row>
    <row r="488" ht="15.75" customHeight="1">
      <c r="B488" s="65"/>
      <c r="C488" s="65"/>
      <c r="D488" s="65"/>
      <c r="E488" s="66"/>
      <c r="F488" s="65"/>
      <c r="G488" s="67"/>
    </row>
    <row r="489" ht="15.75" customHeight="1">
      <c r="B489" s="65"/>
      <c r="C489" s="65"/>
      <c r="D489" s="65"/>
      <c r="E489" s="66"/>
      <c r="F489" s="65"/>
      <c r="G489" s="67"/>
    </row>
    <row r="490" ht="15.75" customHeight="1">
      <c r="B490" s="65"/>
      <c r="C490" s="65"/>
      <c r="D490" s="65"/>
      <c r="E490" s="66"/>
      <c r="F490" s="65"/>
      <c r="G490" s="67"/>
    </row>
    <row r="491" ht="15.75" customHeight="1">
      <c r="B491" s="65"/>
      <c r="C491" s="65"/>
      <c r="D491" s="65"/>
      <c r="E491" s="66"/>
      <c r="F491" s="65"/>
      <c r="G491" s="67"/>
    </row>
    <row r="492" ht="15.75" customHeight="1">
      <c r="B492" s="65"/>
      <c r="C492" s="65"/>
      <c r="D492" s="65"/>
      <c r="E492" s="66"/>
      <c r="F492" s="65"/>
      <c r="G492" s="67"/>
    </row>
    <row r="493" ht="15.75" customHeight="1">
      <c r="B493" s="65"/>
      <c r="C493" s="65"/>
      <c r="D493" s="65"/>
      <c r="E493" s="66"/>
      <c r="F493" s="65"/>
      <c r="G493" s="67"/>
    </row>
    <row r="494" ht="15.75" customHeight="1">
      <c r="B494" s="65"/>
      <c r="C494" s="65"/>
      <c r="D494" s="65"/>
      <c r="E494" s="66"/>
      <c r="F494" s="65"/>
      <c r="G494" s="67"/>
    </row>
    <row r="495" ht="15.75" customHeight="1">
      <c r="B495" s="65"/>
      <c r="C495" s="65"/>
      <c r="D495" s="65"/>
      <c r="E495" s="66"/>
      <c r="F495" s="65"/>
      <c r="G495" s="67"/>
    </row>
    <row r="496" ht="15.75" customHeight="1">
      <c r="B496" s="65"/>
      <c r="C496" s="65"/>
      <c r="D496" s="65"/>
      <c r="E496" s="66"/>
      <c r="F496" s="65"/>
      <c r="G496" s="67"/>
    </row>
    <row r="497" ht="15.75" customHeight="1">
      <c r="B497" s="65"/>
      <c r="C497" s="65"/>
      <c r="D497" s="65"/>
      <c r="E497" s="66"/>
      <c r="F497" s="65"/>
      <c r="G497" s="67"/>
    </row>
    <row r="498" ht="15.75" customHeight="1">
      <c r="B498" s="65"/>
      <c r="C498" s="65"/>
      <c r="D498" s="65"/>
      <c r="E498" s="66"/>
      <c r="F498" s="65"/>
      <c r="G498" s="67"/>
    </row>
    <row r="499" ht="15.75" customHeight="1">
      <c r="B499" s="65"/>
      <c r="C499" s="65"/>
      <c r="D499" s="65"/>
      <c r="E499" s="66"/>
      <c r="F499" s="65"/>
      <c r="G499" s="67"/>
    </row>
    <row r="500" ht="15.75" customHeight="1">
      <c r="B500" s="65"/>
      <c r="C500" s="65"/>
      <c r="D500" s="65"/>
      <c r="E500" s="66"/>
      <c r="F500" s="65"/>
      <c r="G500" s="67"/>
    </row>
    <row r="501" ht="15.75" customHeight="1">
      <c r="B501" s="65"/>
      <c r="C501" s="65"/>
      <c r="D501" s="65"/>
      <c r="E501" s="66"/>
      <c r="F501" s="65"/>
      <c r="G501" s="67"/>
    </row>
    <row r="502" ht="15.75" customHeight="1">
      <c r="B502" s="65"/>
      <c r="C502" s="65"/>
      <c r="D502" s="65"/>
      <c r="E502" s="66"/>
      <c r="F502" s="65"/>
      <c r="G502" s="67"/>
    </row>
    <row r="503" ht="15.75" customHeight="1">
      <c r="B503" s="65"/>
      <c r="C503" s="65"/>
      <c r="D503" s="65"/>
      <c r="E503" s="66"/>
      <c r="F503" s="65"/>
      <c r="G503" s="67"/>
    </row>
    <row r="504" ht="15.75" customHeight="1">
      <c r="B504" s="65"/>
      <c r="C504" s="65"/>
      <c r="D504" s="65"/>
      <c r="E504" s="66"/>
      <c r="F504" s="65"/>
      <c r="G504" s="67"/>
    </row>
    <row r="505" ht="15.75" customHeight="1">
      <c r="B505" s="65"/>
      <c r="C505" s="65"/>
      <c r="D505" s="65"/>
      <c r="E505" s="66"/>
      <c r="F505" s="65"/>
      <c r="G505" s="67"/>
    </row>
    <row r="506" ht="15.75" customHeight="1">
      <c r="B506" s="65"/>
      <c r="C506" s="65"/>
      <c r="D506" s="65"/>
      <c r="E506" s="66"/>
      <c r="F506" s="65"/>
      <c r="G506" s="67"/>
    </row>
    <row r="507" ht="15.75" customHeight="1">
      <c r="B507" s="65"/>
      <c r="C507" s="65"/>
      <c r="D507" s="65"/>
      <c r="E507" s="66"/>
      <c r="F507" s="65"/>
      <c r="G507" s="67"/>
    </row>
    <row r="508" ht="15.75" customHeight="1">
      <c r="B508" s="65"/>
      <c r="C508" s="65"/>
      <c r="D508" s="65"/>
      <c r="E508" s="66"/>
      <c r="F508" s="65"/>
      <c r="G508" s="67"/>
    </row>
    <row r="509" ht="15.75" customHeight="1">
      <c r="B509" s="65"/>
      <c r="C509" s="65"/>
      <c r="D509" s="65"/>
      <c r="E509" s="66"/>
      <c r="F509" s="65"/>
      <c r="G509" s="67"/>
    </row>
    <row r="510" ht="15.75" customHeight="1">
      <c r="B510" s="65"/>
      <c r="C510" s="65"/>
      <c r="D510" s="65"/>
      <c r="E510" s="66"/>
      <c r="F510" s="65"/>
      <c r="G510" s="67"/>
    </row>
    <row r="511" ht="15.75" customHeight="1">
      <c r="B511" s="65"/>
      <c r="C511" s="65"/>
      <c r="D511" s="65"/>
      <c r="E511" s="66"/>
      <c r="F511" s="65"/>
      <c r="G511" s="67"/>
    </row>
    <row r="512" ht="15.75" customHeight="1">
      <c r="B512" s="65"/>
      <c r="C512" s="65"/>
      <c r="D512" s="65"/>
      <c r="E512" s="66"/>
      <c r="F512" s="65"/>
      <c r="G512" s="67"/>
    </row>
    <row r="513" ht="15.75" customHeight="1">
      <c r="B513" s="65"/>
      <c r="C513" s="65"/>
      <c r="D513" s="65"/>
      <c r="E513" s="66"/>
      <c r="F513" s="65"/>
      <c r="G513" s="67"/>
    </row>
    <row r="514" ht="15.75" customHeight="1">
      <c r="B514" s="65"/>
      <c r="C514" s="65"/>
      <c r="D514" s="65"/>
      <c r="E514" s="66"/>
      <c r="F514" s="65"/>
      <c r="G514" s="67"/>
    </row>
    <row r="515" ht="15.75" customHeight="1">
      <c r="B515" s="65"/>
      <c r="C515" s="65"/>
      <c r="D515" s="65"/>
      <c r="E515" s="66"/>
      <c r="F515" s="65"/>
      <c r="G515" s="67"/>
    </row>
    <row r="516" ht="15.75" customHeight="1">
      <c r="B516" s="65"/>
      <c r="C516" s="65"/>
      <c r="D516" s="65"/>
      <c r="E516" s="66"/>
      <c r="F516" s="65"/>
      <c r="G516" s="67"/>
    </row>
    <row r="517" ht="15.75" customHeight="1">
      <c r="B517" s="65"/>
      <c r="C517" s="65"/>
      <c r="D517" s="65"/>
      <c r="E517" s="66"/>
      <c r="F517" s="65"/>
      <c r="G517" s="67"/>
    </row>
    <row r="518" ht="15.75" customHeight="1">
      <c r="B518" s="65"/>
      <c r="C518" s="65"/>
      <c r="D518" s="65"/>
      <c r="E518" s="66"/>
      <c r="F518" s="65"/>
      <c r="G518" s="67"/>
    </row>
    <row r="519" ht="15.75" customHeight="1">
      <c r="B519" s="65"/>
      <c r="C519" s="65"/>
      <c r="D519" s="65"/>
      <c r="E519" s="66"/>
      <c r="F519" s="65"/>
      <c r="G519" s="67"/>
    </row>
    <row r="520" ht="15.75" customHeight="1">
      <c r="B520" s="65"/>
      <c r="C520" s="65"/>
      <c r="D520" s="65"/>
      <c r="E520" s="66"/>
      <c r="F520" s="65"/>
      <c r="G520" s="67"/>
    </row>
    <row r="521" ht="15.75" customHeight="1">
      <c r="B521" s="65"/>
      <c r="C521" s="65"/>
      <c r="D521" s="65"/>
      <c r="E521" s="66"/>
      <c r="F521" s="65"/>
      <c r="G521" s="67"/>
    </row>
    <row r="522" ht="15.75" customHeight="1">
      <c r="B522" s="65"/>
      <c r="C522" s="65"/>
      <c r="D522" s="65"/>
      <c r="E522" s="66"/>
      <c r="F522" s="65"/>
      <c r="G522" s="67"/>
    </row>
    <row r="523" ht="15.75" customHeight="1">
      <c r="B523" s="65"/>
      <c r="C523" s="65"/>
      <c r="D523" s="65"/>
      <c r="E523" s="66"/>
      <c r="F523" s="65"/>
      <c r="G523" s="67"/>
    </row>
    <row r="524" ht="15.75" customHeight="1">
      <c r="B524" s="65"/>
      <c r="C524" s="65"/>
      <c r="D524" s="65"/>
      <c r="E524" s="66"/>
      <c r="F524" s="65"/>
      <c r="G524" s="67"/>
    </row>
    <row r="525" ht="15.75" customHeight="1">
      <c r="B525" s="65"/>
      <c r="C525" s="65"/>
      <c r="D525" s="65"/>
      <c r="E525" s="66"/>
      <c r="F525" s="65"/>
      <c r="G525" s="67"/>
    </row>
    <row r="526" ht="15.75" customHeight="1">
      <c r="B526" s="65"/>
      <c r="C526" s="65"/>
      <c r="D526" s="65"/>
      <c r="E526" s="66"/>
      <c r="F526" s="65"/>
      <c r="G526" s="67"/>
    </row>
    <row r="527" ht="15.75" customHeight="1">
      <c r="B527" s="65"/>
      <c r="C527" s="65"/>
      <c r="D527" s="65"/>
      <c r="E527" s="66"/>
      <c r="F527" s="65"/>
      <c r="G527" s="67"/>
    </row>
    <row r="528" ht="15.75" customHeight="1">
      <c r="B528" s="65"/>
      <c r="C528" s="65"/>
      <c r="D528" s="65"/>
      <c r="E528" s="66"/>
      <c r="F528" s="65"/>
      <c r="G528" s="67"/>
    </row>
    <row r="529" ht="15.75" customHeight="1">
      <c r="B529" s="65"/>
      <c r="C529" s="65"/>
      <c r="D529" s="65"/>
      <c r="E529" s="66"/>
      <c r="F529" s="65"/>
      <c r="G529" s="67"/>
    </row>
    <row r="530" ht="15.75" customHeight="1">
      <c r="B530" s="65"/>
      <c r="C530" s="65"/>
      <c r="D530" s="65"/>
      <c r="E530" s="66"/>
      <c r="F530" s="65"/>
      <c r="G530" s="67"/>
    </row>
    <row r="531" ht="15.75" customHeight="1">
      <c r="B531" s="65"/>
      <c r="C531" s="65"/>
      <c r="D531" s="65"/>
      <c r="E531" s="66"/>
      <c r="F531" s="65"/>
      <c r="G531" s="67"/>
    </row>
    <row r="532" ht="15.75" customHeight="1">
      <c r="B532" s="65"/>
      <c r="C532" s="65"/>
      <c r="D532" s="65"/>
      <c r="E532" s="66"/>
      <c r="F532" s="65"/>
      <c r="G532" s="67"/>
    </row>
    <row r="533" ht="15.75" customHeight="1">
      <c r="B533" s="65"/>
      <c r="C533" s="65"/>
      <c r="D533" s="65"/>
      <c r="E533" s="66"/>
      <c r="F533" s="65"/>
      <c r="G533" s="67"/>
    </row>
    <row r="534" ht="15.75" customHeight="1">
      <c r="B534" s="65"/>
      <c r="C534" s="65"/>
      <c r="D534" s="65"/>
      <c r="E534" s="66"/>
      <c r="F534" s="65"/>
      <c r="G534" s="67"/>
    </row>
    <row r="535" ht="15.75" customHeight="1">
      <c r="B535" s="65"/>
      <c r="C535" s="65"/>
      <c r="D535" s="65"/>
      <c r="E535" s="66"/>
      <c r="F535" s="65"/>
      <c r="G535" s="67"/>
    </row>
    <row r="536" ht="15.75" customHeight="1">
      <c r="B536" s="65"/>
      <c r="C536" s="65"/>
      <c r="D536" s="65"/>
      <c r="E536" s="66"/>
      <c r="F536" s="65"/>
      <c r="G536" s="67"/>
    </row>
    <row r="537" ht="15.75" customHeight="1">
      <c r="B537" s="65"/>
      <c r="C537" s="65"/>
      <c r="D537" s="65"/>
      <c r="E537" s="66"/>
      <c r="F537" s="65"/>
      <c r="G537" s="67"/>
    </row>
    <row r="538" ht="15.75" customHeight="1">
      <c r="B538" s="65"/>
      <c r="C538" s="65"/>
      <c r="D538" s="65"/>
      <c r="E538" s="66"/>
      <c r="F538" s="65"/>
      <c r="G538" s="67"/>
    </row>
    <row r="539" ht="15.75" customHeight="1">
      <c r="B539" s="65"/>
      <c r="C539" s="65"/>
      <c r="D539" s="65"/>
      <c r="E539" s="66"/>
      <c r="F539" s="65"/>
      <c r="G539" s="67"/>
    </row>
    <row r="540" ht="15.75" customHeight="1">
      <c r="B540" s="65"/>
      <c r="C540" s="65"/>
      <c r="D540" s="65"/>
      <c r="E540" s="66"/>
      <c r="F540" s="65"/>
      <c r="G540" s="67"/>
    </row>
    <row r="541" ht="15.75" customHeight="1">
      <c r="B541" s="65"/>
      <c r="C541" s="65"/>
      <c r="D541" s="65"/>
      <c r="E541" s="66"/>
      <c r="F541" s="65"/>
      <c r="G541" s="67"/>
    </row>
    <row r="542" ht="15.75" customHeight="1">
      <c r="B542" s="65"/>
      <c r="C542" s="65"/>
      <c r="D542" s="65"/>
      <c r="E542" s="66"/>
      <c r="F542" s="65"/>
      <c r="G542" s="67"/>
    </row>
    <row r="543" ht="15.75" customHeight="1">
      <c r="B543" s="65"/>
      <c r="C543" s="65"/>
      <c r="D543" s="65"/>
      <c r="E543" s="66"/>
      <c r="F543" s="65"/>
      <c r="G543" s="67"/>
    </row>
    <row r="544" ht="15.75" customHeight="1">
      <c r="B544" s="65"/>
      <c r="C544" s="65"/>
      <c r="D544" s="65"/>
      <c r="E544" s="66"/>
      <c r="F544" s="65"/>
      <c r="G544" s="67"/>
    </row>
    <row r="545" ht="15.75" customHeight="1">
      <c r="B545" s="65"/>
      <c r="C545" s="65"/>
      <c r="D545" s="65"/>
      <c r="E545" s="66"/>
      <c r="F545" s="65"/>
      <c r="G545" s="67"/>
    </row>
    <row r="546" ht="15.75" customHeight="1">
      <c r="B546" s="65"/>
      <c r="C546" s="65"/>
      <c r="D546" s="65"/>
      <c r="E546" s="66"/>
      <c r="F546" s="65"/>
      <c r="G546" s="67"/>
    </row>
    <row r="547" ht="15.75" customHeight="1">
      <c r="B547" s="65"/>
      <c r="C547" s="65"/>
      <c r="D547" s="65"/>
      <c r="E547" s="66"/>
      <c r="F547" s="65"/>
      <c r="G547" s="67"/>
    </row>
    <row r="548" ht="15.75" customHeight="1">
      <c r="B548" s="65"/>
      <c r="C548" s="65"/>
      <c r="D548" s="65"/>
      <c r="E548" s="66"/>
      <c r="F548" s="65"/>
      <c r="G548" s="67"/>
    </row>
    <row r="549" ht="15.75" customHeight="1">
      <c r="B549" s="65"/>
      <c r="C549" s="65"/>
      <c r="D549" s="65"/>
      <c r="E549" s="66"/>
      <c r="F549" s="65"/>
      <c r="G549" s="67"/>
    </row>
    <row r="550" ht="15.75" customHeight="1">
      <c r="B550" s="65"/>
      <c r="C550" s="65"/>
      <c r="D550" s="65"/>
      <c r="E550" s="66"/>
      <c r="F550" s="65"/>
      <c r="G550" s="67"/>
    </row>
    <row r="551" ht="15.75" customHeight="1">
      <c r="B551" s="65"/>
      <c r="C551" s="65"/>
      <c r="D551" s="65"/>
      <c r="E551" s="66"/>
      <c r="F551" s="65"/>
      <c r="G551" s="67"/>
    </row>
    <row r="552" ht="15.75" customHeight="1">
      <c r="B552" s="65"/>
      <c r="C552" s="65"/>
      <c r="D552" s="65"/>
      <c r="E552" s="66"/>
      <c r="F552" s="65"/>
      <c r="G552" s="67"/>
    </row>
    <row r="553" ht="15.75" customHeight="1">
      <c r="B553" s="65"/>
      <c r="C553" s="65"/>
      <c r="D553" s="65"/>
      <c r="E553" s="66"/>
      <c r="F553" s="65"/>
      <c r="G553" s="67"/>
    </row>
    <row r="554" ht="15.75" customHeight="1">
      <c r="B554" s="65"/>
      <c r="C554" s="65"/>
      <c r="D554" s="65"/>
      <c r="E554" s="66"/>
      <c r="F554" s="65"/>
      <c r="G554" s="67"/>
    </row>
    <row r="555" ht="15.75" customHeight="1">
      <c r="B555" s="65"/>
      <c r="C555" s="65"/>
      <c r="D555" s="65"/>
      <c r="E555" s="66"/>
      <c r="F555" s="65"/>
      <c r="G555" s="67"/>
    </row>
    <row r="556" ht="15.75" customHeight="1">
      <c r="B556" s="65"/>
      <c r="C556" s="65"/>
      <c r="D556" s="65"/>
      <c r="E556" s="66"/>
      <c r="F556" s="65"/>
      <c r="G556" s="67"/>
    </row>
    <row r="557" ht="15.75" customHeight="1">
      <c r="B557" s="65"/>
      <c r="C557" s="65"/>
      <c r="D557" s="65"/>
      <c r="E557" s="66"/>
      <c r="F557" s="65"/>
      <c r="G557" s="67"/>
    </row>
    <row r="558" ht="15.75" customHeight="1">
      <c r="B558" s="65"/>
      <c r="C558" s="65"/>
      <c r="D558" s="65"/>
      <c r="E558" s="66"/>
      <c r="F558" s="65"/>
      <c r="G558" s="67"/>
    </row>
    <row r="559" ht="15.75" customHeight="1">
      <c r="B559" s="65"/>
      <c r="C559" s="65"/>
      <c r="D559" s="65"/>
      <c r="E559" s="66"/>
      <c r="F559" s="65"/>
      <c r="G559" s="67"/>
    </row>
    <row r="560" ht="15.75" customHeight="1">
      <c r="B560" s="65"/>
      <c r="C560" s="65"/>
      <c r="D560" s="65"/>
      <c r="E560" s="66"/>
      <c r="F560" s="65"/>
      <c r="G560" s="67"/>
    </row>
    <row r="561" ht="15.75" customHeight="1">
      <c r="B561" s="65"/>
      <c r="C561" s="65"/>
      <c r="D561" s="65"/>
      <c r="E561" s="66"/>
      <c r="F561" s="65"/>
      <c r="G561" s="67"/>
    </row>
    <row r="562" ht="15.75" customHeight="1">
      <c r="B562" s="65"/>
      <c r="C562" s="65"/>
      <c r="D562" s="65"/>
      <c r="E562" s="66"/>
      <c r="F562" s="65"/>
      <c r="G562" s="67"/>
    </row>
    <row r="563" ht="15.75" customHeight="1">
      <c r="B563" s="65"/>
      <c r="C563" s="65"/>
      <c r="D563" s="65"/>
      <c r="E563" s="66"/>
      <c r="F563" s="65"/>
      <c r="G563" s="67"/>
    </row>
    <row r="564" ht="15.75" customHeight="1">
      <c r="B564" s="65"/>
      <c r="C564" s="65"/>
      <c r="D564" s="65"/>
      <c r="E564" s="66"/>
      <c r="F564" s="65"/>
      <c r="G564" s="67"/>
    </row>
    <row r="565" ht="15.75" customHeight="1">
      <c r="B565" s="65"/>
      <c r="C565" s="65"/>
      <c r="D565" s="65"/>
      <c r="E565" s="66"/>
      <c r="F565" s="65"/>
      <c r="G565" s="67"/>
    </row>
    <row r="566" ht="15.75" customHeight="1">
      <c r="B566" s="65"/>
      <c r="C566" s="65"/>
      <c r="D566" s="65"/>
      <c r="E566" s="66"/>
      <c r="F566" s="65"/>
      <c r="G566" s="67"/>
    </row>
    <row r="567" ht="15.75" customHeight="1">
      <c r="B567" s="65"/>
      <c r="C567" s="65"/>
      <c r="D567" s="65"/>
      <c r="E567" s="66"/>
      <c r="F567" s="65"/>
      <c r="G567" s="67"/>
    </row>
    <row r="568" ht="15.75" customHeight="1">
      <c r="B568" s="65"/>
      <c r="C568" s="65"/>
      <c r="D568" s="65"/>
      <c r="E568" s="66"/>
      <c r="F568" s="65"/>
      <c r="G568" s="67"/>
    </row>
    <row r="569" ht="15.75" customHeight="1">
      <c r="B569" s="65"/>
      <c r="C569" s="65"/>
      <c r="D569" s="65"/>
      <c r="E569" s="66"/>
      <c r="F569" s="65"/>
      <c r="G569" s="67"/>
    </row>
    <row r="570" ht="15.75" customHeight="1">
      <c r="B570" s="65"/>
      <c r="C570" s="65"/>
      <c r="D570" s="65"/>
      <c r="E570" s="66"/>
      <c r="F570" s="65"/>
      <c r="G570" s="67"/>
    </row>
    <row r="571" ht="15.75" customHeight="1">
      <c r="B571" s="65"/>
      <c r="C571" s="65"/>
      <c r="D571" s="65"/>
      <c r="E571" s="66"/>
      <c r="F571" s="65"/>
      <c r="G571" s="67"/>
    </row>
    <row r="572" ht="15.75" customHeight="1">
      <c r="B572" s="65"/>
      <c r="C572" s="65"/>
      <c r="D572" s="65"/>
      <c r="E572" s="66"/>
      <c r="F572" s="65"/>
      <c r="G572" s="67"/>
    </row>
    <row r="573" ht="15.75" customHeight="1">
      <c r="B573" s="65"/>
      <c r="C573" s="65"/>
      <c r="D573" s="65"/>
      <c r="E573" s="66"/>
      <c r="F573" s="65"/>
      <c r="G573" s="67"/>
    </row>
    <row r="574" ht="15.75" customHeight="1">
      <c r="B574" s="65"/>
      <c r="C574" s="65"/>
      <c r="D574" s="65"/>
      <c r="E574" s="66"/>
      <c r="F574" s="65"/>
      <c r="G574" s="67"/>
    </row>
    <row r="575" ht="15.75" customHeight="1">
      <c r="B575" s="65"/>
      <c r="C575" s="65"/>
      <c r="D575" s="65"/>
      <c r="E575" s="66"/>
      <c r="F575" s="65"/>
      <c r="G575" s="67"/>
    </row>
    <row r="576" ht="15.75" customHeight="1">
      <c r="B576" s="65"/>
      <c r="C576" s="65"/>
      <c r="D576" s="65"/>
      <c r="E576" s="66"/>
      <c r="F576" s="65"/>
      <c r="G576" s="67"/>
    </row>
    <row r="577" ht="15.75" customHeight="1">
      <c r="B577" s="65"/>
      <c r="C577" s="65"/>
      <c r="D577" s="65"/>
      <c r="E577" s="66"/>
      <c r="F577" s="65"/>
      <c r="G577" s="67"/>
    </row>
    <row r="578" ht="15.75" customHeight="1">
      <c r="B578" s="65"/>
      <c r="C578" s="65"/>
      <c r="D578" s="65"/>
      <c r="E578" s="66"/>
      <c r="F578" s="65"/>
      <c r="G578" s="67"/>
    </row>
    <row r="579" ht="15.75" customHeight="1">
      <c r="B579" s="65"/>
      <c r="C579" s="65"/>
      <c r="D579" s="65"/>
      <c r="E579" s="66"/>
      <c r="F579" s="65"/>
      <c r="G579" s="67"/>
    </row>
    <row r="580" ht="15.75" customHeight="1">
      <c r="B580" s="65"/>
      <c r="C580" s="65"/>
      <c r="D580" s="65"/>
      <c r="E580" s="66"/>
      <c r="F580" s="65"/>
      <c r="G580" s="67"/>
    </row>
    <row r="581" ht="15.75" customHeight="1">
      <c r="B581" s="65"/>
      <c r="C581" s="65"/>
      <c r="D581" s="65"/>
      <c r="E581" s="66"/>
      <c r="F581" s="65"/>
      <c r="G581" s="67"/>
    </row>
    <row r="582" ht="15.75" customHeight="1">
      <c r="B582" s="65"/>
      <c r="C582" s="65"/>
      <c r="D582" s="65"/>
      <c r="E582" s="66"/>
      <c r="F582" s="65"/>
      <c r="G582" s="67"/>
    </row>
    <row r="583" ht="15.75" customHeight="1">
      <c r="B583" s="65"/>
      <c r="C583" s="65"/>
      <c r="D583" s="65"/>
      <c r="E583" s="66"/>
      <c r="F583" s="65"/>
      <c r="G583" s="67"/>
    </row>
    <row r="584" ht="15.75" customHeight="1">
      <c r="B584" s="65"/>
      <c r="C584" s="65"/>
      <c r="D584" s="65"/>
      <c r="E584" s="66"/>
      <c r="F584" s="65"/>
      <c r="G584" s="67"/>
    </row>
    <row r="585" ht="15.75" customHeight="1">
      <c r="B585" s="65"/>
      <c r="C585" s="65"/>
      <c r="D585" s="65"/>
      <c r="E585" s="66"/>
      <c r="F585" s="65"/>
      <c r="G585" s="67"/>
    </row>
    <row r="586" ht="15.75" customHeight="1">
      <c r="B586" s="65"/>
      <c r="C586" s="65"/>
      <c r="D586" s="65"/>
      <c r="E586" s="66"/>
      <c r="F586" s="65"/>
      <c r="G586" s="67"/>
    </row>
    <row r="587" ht="15.75" customHeight="1">
      <c r="B587" s="65"/>
      <c r="C587" s="65"/>
      <c r="D587" s="65"/>
      <c r="E587" s="66"/>
      <c r="F587" s="65"/>
      <c r="G587" s="67"/>
    </row>
    <row r="588" ht="15.75" customHeight="1">
      <c r="B588" s="65"/>
      <c r="C588" s="65"/>
      <c r="D588" s="65"/>
      <c r="E588" s="66"/>
      <c r="F588" s="65"/>
      <c r="G588" s="67"/>
    </row>
    <row r="589" ht="15.75" customHeight="1">
      <c r="B589" s="65"/>
      <c r="C589" s="65"/>
      <c r="D589" s="65"/>
      <c r="E589" s="66"/>
      <c r="F589" s="65"/>
      <c r="G589" s="67"/>
    </row>
    <row r="590" ht="15.75" customHeight="1">
      <c r="B590" s="65"/>
      <c r="C590" s="65"/>
      <c r="D590" s="65"/>
      <c r="E590" s="66"/>
      <c r="F590" s="65"/>
      <c r="G590" s="67"/>
    </row>
    <row r="591" ht="15.75" customHeight="1">
      <c r="B591" s="65"/>
      <c r="C591" s="65"/>
      <c r="D591" s="65"/>
      <c r="E591" s="66"/>
      <c r="F591" s="65"/>
      <c r="G591" s="67"/>
    </row>
    <row r="592" ht="15.75" customHeight="1">
      <c r="B592" s="65"/>
      <c r="C592" s="65"/>
      <c r="D592" s="65"/>
      <c r="E592" s="66"/>
      <c r="F592" s="65"/>
      <c r="G592" s="67"/>
    </row>
    <row r="593" ht="15.75" customHeight="1">
      <c r="B593" s="65"/>
      <c r="C593" s="65"/>
      <c r="D593" s="65"/>
      <c r="E593" s="66"/>
      <c r="F593" s="65"/>
      <c r="G593" s="67"/>
    </row>
    <row r="594" ht="15.75" customHeight="1">
      <c r="B594" s="65"/>
      <c r="C594" s="65"/>
      <c r="D594" s="65"/>
      <c r="E594" s="66"/>
      <c r="F594" s="65"/>
      <c r="G594" s="67"/>
    </row>
    <row r="595" ht="15.75" customHeight="1">
      <c r="B595" s="65"/>
      <c r="C595" s="65"/>
      <c r="D595" s="65"/>
      <c r="E595" s="66"/>
      <c r="F595" s="65"/>
      <c r="G595" s="67"/>
    </row>
    <row r="596" ht="15.75" customHeight="1">
      <c r="B596" s="65"/>
      <c r="C596" s="65"/>
      <c r="D596" s="65"/>
      <c r="E596" s="66"/>
      <c r="F596" s="65"/>
      <c r="G596" s="67"/>
    </row>
    <row r="597" ht="15.75" customHeight="1">
      <c r="B597" s="65"/>
      <c r="C597" s="65"/>
      <c r="D597" s="65"/>
      <c r="E597" s="66"/>
      <c r="F597" s="65"/>
      <c r="G597" s="67"/>
    </row>
    <row r="598" ht="15.75" customHeight="1">
      <c r="B598" s="65"/>
      <c r="C598" s="65"/>
      <c r="D598" s="65"/>
      <c r="E598" s="66"/>
      <c r="F598" s="65"/>
      <c r="G598" s="67"/>
    </row>
    <row r="599" ht="15.75" customHeight="1">
      <c r="B599" s="65"/>
      <c r="C599" s="65"/>
      <c r="D599" s="65"/>
      <c r="E599" s="66"/>
      <c r="F599" s="65"/>
      <c r="G599" s="67"/>
    </row>
    <row r="600" ht="15.75" customHeight="1">
      <c r="B600" s="65"/>
      <c r="C600" s="65"/>
      <c r="D600" s="65"/>
      <c r="E600" s="66"/>
      <c r="F600" s="65"/>
      <c r="G600" s="67"/>
    </row>
    <row r="601" ht="15.75" customHeight="1">
      <c r="B601" s="65"/>
      <c r="C601" s="65"/>
      <c r="D601" s="65"/>
      <c r="E601" s="66"/>
      <c r="F601" s="65"/>
      <c r="G601" s="67"/>
    </row>
    <row r="602" ht="15.75" customHeight="1">
      <c r="B602" s="65"/>
      <c r="C602" s="65"/>
      <c r="D602" s="65"/>
      <c r="E602" s="66"/>
      <c r="F602" s="65"/>
      <c r="G602" s="67"/>
    </row>
    <row r="603" ht="15.75" customHeight="1">
      <c r="B603" s="65"/>
      <c r="C603" s="65"/>
      <c r="D603" s="65"/>
      <c r="E603" s="66"/>
      <c r="F603" s="65"/>
      <c r="G603" s="67"/>
    </row>
    <row r="604" ht="15.75" customHeight="1">
      <c r="B604" s="65"/>
      <c r="C604" s="65"/>
      <c r="D604" s="65"/>
      <c r="E604" s="66"/>
      <c r="F604" s="65"/>
      <c r="G604" s="67"/>
    </row>
    <row r="605" ht="15.75" customHeight="1">
      <c r="B605" s="65"/>
      <c r="C605" s="65"/>
      <c r="D605" s="65"/>
      <c r="E605" s="66"/>
      <c r="F605" s="65"/>
      <c r="G605" s="67"/>
    </row>
    <row r="606" ht="15.75" customHeight="1">
      <c r="B606" s="65"/>
      <c r="C606" s="65"/>
      <c r="D606" s="65"/>
      <c r="E606" s="66"/>
      <c r="F606" s="65"/>
      <c r="G606" s="67"/>
    </row>
    <row r="607" ht="15.75" customHeight="1">
      <c r="B607" s="65"/>
      <c r="C607" s="65"/>
      <c r="D607" s="65"/>
      <c r="E607" s="66"/>
      <c r="F607" s="65"/>
      <c r="G607" s="67"/>
    </row>
    <row r="608" ht="15.75" customHeight="1">
      <c r="B608" s="65"/>
      <c r="C608" s="65"/>
      <c r="D608" s="65"/>
      <c r="E608" s="66"/>
      <c r="F608" s="65"/>
      <c r="G608" s="67"/>
    </row>
    <row r="609" ht="15.75" customHeight="1">
      <c r="B609" s="65"/>
      <c r="C609" s="65"/>
      <c r="D609" s="65"/>
      <c r="E609" s="66"/>
      <c r="F609" s="65"/>
      <c r="G609" s="67"/>
    </row>
    <row r="610" ht="15.75" customHeight="1">
      <c r="B610" s="65"/>
      <c r="C610" s="65"/>
      <c r="D610" s="65"/>
      <c r="E610" s="66"/>
      <c r="F610" s="65"/>
      <c r="G610" s="67"/>
    </row>
    <row r="611" ht="15.75" customHeight="1">
      <c r="B611" s="65"/>
      <c r="C611" s="65"/>
      <c r="D611" s="65"/>
      <c r="E611" s="66"/>
      <c r="F611" s="65"/>
      <c r="G611" s="67"/>
    </row>
    <row r="612" ht="15.75" customHeight="1">
      <c r="B612" s="65"/>
      <c r="C612" s="65"/>
      <c r="D612" s="65"/>
      <c r="E612" s="66"/>
      <c r="F612" s="65"/>
      <c r="G612" s="67"/>
    </row>
    <row r="613" ht="15.75" customHeight="1">
      <c r="B613" s="65"/>
      <c r="C613" s="65"/>
      <c r="D613" s="65"/>
      <c r="E613" s="66"/>
      <c r="F613" s="65"/>
      <c r="G613" s="67"/>
    </row>
    <row r="614" ht="15.75" customHeight="1">
      <c r="B614" s="65"/>
      <c r="C614" s="65"/>
      <c r="D614" s="65"/>
      <c r="E614" s="66"/>
      <c r="F614" s="65"/>
      <c r="G614" s="67"/>
    </row>
    <row r="615" ht="15.75" customHeight="1">
      <c r="B615" s="65"/>
      <c r="C615" s="65"/>
      <c r="D615" s="65"/>
      <c r="E615" s="66"/>
      <c r="F615" s="65"/>
      <c r="G615" s="67"/>
    </row>
    <row r="616" ht="15.75" customHeight="1">
      <c r="B616" s="65"/>
      <c r="C616" s="65"/>
      <c r="D616" s="65"/>
      <c r="E616" s="66"/>
      <c r="F616" s="65"/>
      <c r="G616" s="67"/>
    </row>
    <row r="617" ht="15.75" customHeight="1">
      <c r="B617" s="65"/>
      <c r="C617" s="65"/>
      <c r="D617" s="65"/>
      <c r="E617" s="66"/>
      <c r="F617" s="65"/>
      <c r="G617" s="67"/>
    </row>
    <row r="618" ht="15.75" customHeight="1">
      <c r="B618" s="65"/>
      <c r="C618" s="65"/>
      <c r="D618" s="65"/>
      <c r="E618" s="66"/>
      <c r="F618" s="65"/>
      <c r="G618" s="67"/>
    </row>
    <row r="619" ht="15.75" customHeight="1">
      <c r="B619" s="65"/>
      <c r="C619" s="65"/>
      <c r="D619" s="65"/>
      <c r="E619" s="66"/>
      <c r="F619" s="65"/>
      <c r="G619" s="67"/>
    </row>
    <row r="620" ht="15.75" customHeight="1">
      <c r="B620" s="65"/>
      <c r="C620" s="65"/>
      <c r="D620" s="65"/>
      <c r="E620" s="66"/>
      <c r="F620" s="65"/>
      <c r="G620" s="67"/>
    </row>
    <row r="621" ht="15.75" customHeight="1">
      <c r="B621" s="65"/>
      <c r="C621" s="65"/>
      <c r="D621" s="65"/>
      <c r="E621" s="66"/>
      <c r="F621" s="65"/>
      <c r="G621" s="67"/>
    </row>
    <row r="622" ht="15.75" customHeight="1">
      <c r="B622" s="65"/>
      <c r="C622" s="65"/>
      <c r="D622" s="65"/>
      <c r="E622" s="66"/>
      <c r="F622" s="65"/>
      <c r="G622" s="67"/>
    </row>
    <row r="623" ht="15.75" customHeight="1">
      <c r="B623" s="65"/>
      <c r="C623" s="65"/>
      <c r="D623" s="65"/>
      <c r="E623" s="66"/>
      <c r="F623" s="65"/>
      <c r="G623" s="67"/>
    </row>
    <row r="624" ht="15.75" customHeight="1">
      <c r="B624" s="65"/>
      <c r="C624" s="65"/>
      <c r="D624" s="65"/>
      <c r="E624" s="66"/>
      <c r="F624" s="65"/>
      <c r="G624" s="67"/>
    </row>
    <row r="625" ht="15.75" customHeight="1">
      <c r="B625" s="65"/>
      <c r="C625" s="65"/>
      <c r="D625" s="65"/>
      <c r="E625" s="66"/>
      <c r="F625" s="65"/>
      <c r="G625" s="67"/>
    </row>
    <row r="626" ht="15.75" customHeight="1">
      <c r="B626" s="65"/>
      <c r="C626" s="65"/>
      <c r="D626" s="65"/>
      <c r="E626" s="66"/>
      <c r="F626" s="65"/>
      <c r="G626" s="67"/>
    </row>
    <row r="627" ht="15.75" customHeight="1">
      <c r="B627" s="65"/>
      <c r="C627" s="65"/>
      <c r="D627" s="65"/>
      <c r="E627" s="66"/>
      <c r="F627" s="65"/>
      <c r="G627" s="67"/>
    </row>
    <row r="628" ht="15.75" customHeight="1">
      <c r="B628" s="65"/>
      <c r="C628" s="65"/>
      <c r="D628" s="65"/>
      <c r="E628" s="66"/>
      <c r="F628" s="65"/>
      <c r="G628" s="67"/>
    </row>
    <row r="629" ht="15.75" customHeight="1">
      <c r="B629" s="65"/>
      <c r="C629" s="65"/>
      <c r="D629" s="65"/>
      <c r="E629" s="66"/>
      <c r="F629" s="65"/>
      <c r="G629" s="67"/>
    </row>
    <row r="630" ht="15.75" customHeight="1">
      <c r="B630" s="65"/>
      <c r="C630" s="65"/>
      <c r="D630" s="65"/>
      <c r="E630" s="66"/>
      <c r="F630" s="65"/>
      <c r="G630" s="67"/>
    </row>
    <row r="631" ht="15.75" customHeight="1">
      <c r="B631" s="65"/>
      <c r="C631" s="65"/>
      <c r="D631" s="65"/>
      <c r="E631" s="66"/>
      <c r="F631" s="65"/>
      <c r="G631" s="67"/>
    </row>
    <row r="632" ht="15.75" customHeight="1">
      <c r="B632" s="65"/>
      <c r="C632" s="65"/>
      <c r="D632" s="65"/>
      <c r="E632" s="66"/>
      <c r="F632" s="65"/>
      <c r="G632" s="67"/>
    </row>
    <row r="633" ht="15.75" customHeight="1">
      <c r="B633" s="65"/>
      <c r="C633" s="65"/>
      <c r="D633" s="65"/>
      <c r="E633" s="66"/>
      <c r="F633" s="65"/>
      <c r="G633" s="67"/>
    </row>
    <row r="634" ht="15.75" customHeight="1">
      <c r="B634" s="65"/>
      <c r="C634" s="65"/>
      <c r="D634" s="65"/>
      <c r="E634" s="66"/>
      <c r="F634" s="65"/>
      <c r="G634" s="67"/>
    </row>
    <row r="635" ht="15.75" customHeight="1">
      <c r="B635" s="65"/>
      <c r="C635" s="65"/>
      <c r="D635" s="65"/>
      <c r="E635" s="66"/>
      <c r="F635" s="65"/>
      <c r="G635" s="67"/>
    </row>
    <row r="636" ht="15.75" customHeight="1">
      <c r="B636" s="65"/>
      <c r="C636" s="65"/>
      <c r="D636" s="65"/>
      <c r="E636" s="66"/>
      <c r="F636" s="65"/>
      <c r="G636" s="67"/>
    </row>
    <row r="637" ht="15.75" customHeight="1">
      <c r="B637" s="65"/>
      <c r="C637" s="65"/>
      <c r="D637" s="65"/>
      <c r="E637" s="66"/>
      <c r="F637" s="65"/>
      <c r="G637" s="67"/>
    </row>
    <row r="638" ht="15.75" customHeight="1">
      <c r="B638" s="65"/>
      <c r="C638" s="65"/>
      <c r="D638" s="65"/>
      <c r="E638" s="66"/>
      <c r="F638" s="65"/>
      <c r="G638" s="67"/>
    </row>
    <row r="639" ht="15.75" customHeight="1">
      <c r="B639" s="65"/>
      <c r="C639" s="65"/>
      <c r="D639" s="65"/>
      <c r="E639" s="66"/>
      <c r="F639" s="65"/>
      <c r="G639" s="67"/>
    </row>
    <row r="640" ht="15.75" customHeight="1">
      <c r="B640" s="65"/>
      <c r="C640" s="65"/>
      <c r="D640" s="65"/>
      <c r="E640" s="66"/>
      <c r="F640" s="65"/>
      <c r="G640" s="67"/>
    </row>
    <row r="641" ht="15.75" customHeight="1">
      <c r="B641" s="65"/>
      <c r="C641" s="65"/>
      <c r="D641" s="65"/>
      <c r="E641" s="66"/>
      <c r="F641" s="65"/>
      <c r="G641" s="67"/>
    </row>
    <row r="642" ht="15.75" customHeight="1">
      <c r="B642" s="65"/>
      <c r="C642" s="65"/>
      <c r="D642" s="65"/>
      <c r="E642" s="66"/>
      <c r="F642" s="65"/>
      <c r="G642" s="67"/>
    </row>
    <row r="643" ht="15.75" customHeight="1">
      <c r="B643" s="65"/>
      <c r="C643" s="65"/>
      <c r="D643" s="65"/>
      <c r="E643" s="66"/>
      <c r="F643" s="65"/>
      <c r="G643" s="67"/>
    </row>
    <row r="644" ht="15.75" customHeight="1">
      <c r="B644" s="65"/>
      <c r="C644" s="65"/>
      <c r="D644" s="65"/>
      <c r="E644" s="66"/>
      <c r="F644" s="65"/>
      <c r="G644" s="67"/>
    </row>
    <row r="645" ht="15.75" customHeight="1">
      <c r="B645" s="65"/>
      <c r="C645" s="65"/>
      <c r="D645" s="65"/>
      <c r="E645" s="66"/>
      <c r="F645" s="65"/>
      <c r="G645" s="67"/>
    </row>
    <row r="646" ht="15.75" customHeight="1">
      <c r="B646" s="65"/>
      <c r="C646" s="65"/>
      <c r="D646" s="65"/>
      <c r="E646" s="66"/>
      <c r="F646" s="65"/>
      <c r="G646" s="67"/>
    </row>
    <row r="647" ht="15.75" customHeight="1">
      <c r="B647" s="65"/>
      <c r="C647" s="65"/>
      <c r="D647" s="65"/>
      <c r="E647" s="66"/>
      <c r="F647" s="65"/>
      <c r="G647" s="67"/>
    </row>
    <row r="648" ht="15.75" customHeight="1">
      <c r="B648" s="65"/>
      <c r="C648" s="65"/>
      <c r="D648" s="65"/>
      <c r="E648" s="66"/>
      <c r="F648" s="65"/>
      <c r="G648" s="67"/>
    </row>
    <row r="649" ht="15.75" customHeight="1">
      <c r="B649" s="65"/>
      <c r="C649" s="65"/>
      <c r="D649" s="65"/>
      <c r="E649" s="66"/>
      <c r="F649" s="65"/>
      <c r="G649" s="67"/>
    </row>
    <row r="650" ht="15.75" customHeight="1">
      <c r="B650" s="65"/>
      <c r="C650" s="65"/>
      <c r="D650" s="65"/>
      <c r="E650" s="66"/>
      <c r="F650" s="65"/>
      <c r="G650" s="67"/>
    </row>
    <row r="651" ht="15.75" customHeight="1">
      <c r="B651" s="65"/>
      <c r="C651" s="65"/>
      <c r="D651" s="65"/>
      <c r="E651" s="66"/>
      <c r="F651" s="65"/>
      <c r="G651" s="67"/>
    </row>
    <row r="652" ht="15.75" customHeight="1">
      <c r="B652" s="65"/>
      <c r="C652" s="65"/>
      <c r="D652" s="65"/>
      <c r="E652" s="66"/>
      <c r="F652" s="65"/>
      <c r="G652" s="67"/>
    </row>
    <row r="653" ht="15.75" customHeight="1">
      <c r="B653" s="65"/>
      <c r="C653" s="65"/>
      <c r="D653" s="65"/>
      <c r="E653" s="66"/>
      <c r="F653" s="65"/>
      <c r="G653" s="67"/>
    </row>
    <row r="654" ht="15.75" customHeight="1">
      <c r="B654" s="65"/>
      <c r="C654" s="65"/>
      <c r="D654" s="65"/>
      <c r="E654" s="66"/>
      <c r="F654" s="65"/>
      <c r="G654" s="67"/>
    </row>
    <row r="655" ht="15.75" customHeight="1">
      <c r="B655" s="65"/>
      <c r="C655" s="65"/>
      <c r="D655" s="65"/>
      <c r="E655" s="66"/>
      <c r="F655" s="65"/>
      <c r="G655" s="67"/>
    </row>
    <row r="656" ht="15.75" customHeight="1">
      <c r="B656" s="65"/>
      <c r="C656" s="65"/>
      <c r="D656" s="65"/>
      <c r="E656" s="66"/>
      <c r="F656" s="65"/>
      <c r="G656" s="67"/>
    </row>
    <row r="657" ht="15.75" customHeight="1">
      <c r="B657" s="65"/>
      <c r="C657" s="65"/>
      <c r="D657" s="65"/>
      <c r="E657" s="66"/>
      <c r="F657" s="65"/>
      <c r="G657" s="67"/>
    </row>
    <row r="658" ht="15.75" customHeight="1">
      <c r="B658" s="65"/>
      <c r="C658" s="65"/>
      <c r="D658" s="65"/>
      <c r="E658" s="66"/>
      <c r="F658" s="65"/>
      <c r="G658" s="67"/>
    </row>
    <row r="659" ht="15.75" customHeight="1">
      <c r="B659" s="65"/>
      <c r="C659" s="65"/>
      <c r="D659" s="65"/>
      <c r="E659" s="66"/>
      <c r="F659" s="65"/>
      <c r="G659" s="67"/>
    </row>
    <row r="660" ht="15.75" customHeight="1">
      <c r="B660" s="65"/>
      <c r="C660" s="65"/>
      <c r="D660" s="65"/>
      <c r="E660" s="66"/>
      <c r="F660" s="65"/>
      <c r="G660" s="67"/>
    </row>
    <row r="661" ht="15.75" customHeight="1">
      <c r="B661" s="65"/>
      <c r="C661" s="65"/>
      <c r="D661" s="65"/>
      <c r="E661" s="66"/>
      <c r="F661" s="65"/>
      <c r="G661" s="67"/>
    </row>
    <row r="662" ht="15.75" customHeight="1">
      <c r="B662" s="65"/>
      <c r="C662" s="65"/>
      <c r="D662" s="65"/>
      <c r="E662" s="66"/>
      <c r="F662" s="65"/>
      <c r="G662" s="67"/>
    </row>
    <row r="663" ht="15.75" customHeight="1">
      <c r="B663" s="65"/>
      <c r="C663" s="65"/>
      <c r="D663" s="65"/>
      <c r="E663" s="66"/>
      <c r="F663" s="65"/>
      <c r="G663" s="67"/>
    </row>
    <row r="664" ht="15.75" customHeight="1">
      <c r="B664" s="65"/>
      <c r="C664" s="65"/>
      <c r="D664" s="65"/>
      <c r="E664" s="66"/>
      <c r="F664" s="65"/>
      <c r="G664" s="67"/>
    </row>
    <row r="665" ht="15.75" customHeight="1">
      <c r="B665" s="65"/>
      <c r="C665" s="65"/>
      <c r="D665" s="65"/>
      <c r="E665" s="66"/>
      <c r="F665" s="65"/>
      <c r="G665" s="67"/>
    </row>
    <row r="666" ht="15.75" customHeight="1">
      <c r="B666" s="65"/>
      <c r="C666" s="65"/>
      <c r="D666" s="65"/>
      <c r="E666" s="66"/>
      <c r="F666" s="65"/>
      <c r="G666" s="67"/>
    </row>
    <row r="667" ht="15.75" customHeight="1">
      <c r="B667" s="65"/>
      <c r="C667" s="65"/>
      <c r="D667" s="65"/>
      <c r="E667" s="66"/>
      <c r="F667" s="65"/>
      <c r="G667" s="67"/>
    </row>
    <row r="668" ht="15.75" customHeight="1">
      <c r="B668" s="65"/>
      <c r="C668" s="65"/>
      <c r="D668" s="65"/>
      <c r="E668" s="66"/>
      <c r="F668" s="65"/>
      <c r="G668" s="67"/>
    </row>
    <row r="669" ht="15.75" customHeight="1">
      <c r="B669" s="65"/>
      <c r="C669" s="65"/>
      <c r="D669" s="65"/>
      <c r="E669" s="66"/>
      <c r="F669" s="65"/>
      <c r="G669" s="67"/>
    </row>
    <row r="670" ht="15.75" customHeight="1">
      <c r="B670" s="65"/>
      <c r="C670" s="65"/>
      <c r="D670" s="65"/>
      <c r="E670" s="66"/>
      <c r="F670" s="65"/>
      <c r="G670" s="67"/>
    </row>
    <row r="671" ht="15.75" customHeight="1">
      <c r="B671" s="65"/>
      <c r="C671" s="65"/>
      <c r="D671" s="65"/>
      <c r="E671" s="66"/>
      <c r="F671" s="65"/>
      <c r="G671" s="67"/>
    </row>
    <row r="672" ht="15.75" customHeight="1">
      <c r="B672" s="65"/>
      <c r="C672" s="65"/>
      <c r="D672" s="65"/>
      <c r="E672" s="66"/>
      <c r="F672" s="65"/>
      <c r="G672" s="67"/>
    </row>
    <row r="673" ht="15.75" customHeight="1">
      <c r="B673" s="65"/>
      <c r="C673" s="65"/>
      <c r="D673" s="65"/>
      <c r="E673" s="66"/>
      <c r="F673" s="65"/>
      <c r="G673" s="67"/>
    </row>
    <row r="674" ht="15.75" customHeight="1">
      <c r="B674" s="65"/>
      <c r="C674" s="65"/>
      <c r="D674" s="65"/>
      <c r="E674" s="66"/>
      <c r="F674" s="65"/>
      <c r="G674" s="67"/>
    </row>
    <row r="675" ht="15.75" customHeight="1">
      <c r="B675" s="65"/>
      <c r="C675" s="65"/>
      <c r="D675" s="65"/>
      <c r="E675" s="66"/>
      <c r="F675" s="65"/>
      <c r="G675" s="67"/>
    </row>
    <row r="676" ht="15.75" customHeight="1">
      <c r="B676" s="65"/>
      <c r="C676" s="65"/>
      <c r="D676" s="65"/>
      <c r="E676" s="66"/>
      <c r="F676" s="65"/>
      <c r="G676" s="67"/>
    </row>
    <row r="677" ht="15.75" customHeight="1">
      <c r="B677" s="65"/>
      <c r="C677" s="65"/>
      <c r="D677" s="65"/>
      <c r="E677" s="66"/>
      <c r="F677" s="65"/>
      <c r="G677" s="67"/>
    </row>
    <row r="678" ht="15.75" customHeight="1">
      <c r="B678" s="65"/>
      <c r="C678" s="65"/>
      <c r="D678" s="65"/>
      <c r="E678" s="66"/>
      <c r="F678" s="65"/>
      <c r="G678" s="67"/>
    </row>
    <row r="679" ht="15.75" customHeight="1">
      <c r="B679" s="65"/>
      <c r="C679" s="65"/>
      <c r="D679" s="65"/>
      <c r="E679" s="66"/>
      <c r="F679" s="65"/>
      <c r="G679" s="67"/>
    </row>
    <row r="680" ht="15.75" customHeight="1">
      <c r="B680" s="65"/>
      <c r="C680" s="65"/>
      <c r="D680" s="65"/>
      <c r="E680" s="66"/>
      <c r="F680" s="65"/>
      <c r="G680" s="67"/>
    </row>
    <row r="681" ht="15.75" customHeight="1">
      <c r="B681" s="65"/>
      <c r="C681" s="65"/>
      <c r="D681" s="65"/>
      <c r="E681" s="66"/>
      <c r="F681" s="65"/>
      <c r="G681" s="67"/>
    </row>
    <row r="682" ht="15.75" customHeight="1">
      <c r="B682" s="65"/>
      <c r="C682" s="65"/>
      <c r="D682" s="65"/>
      <c r="E682" s="66"/>
      <c r="F682" s="65"/>
      <c r="G682" s="67"/>
    </row>
    <row r="683" ht="15.75" customHeight="1">
      <c r="B683" s="65"/>
      <c r="C683" s="65"/>
      <c r="D683" s="65"/>
      <c r="E683" s="66"/>
      <c r="F683" s="65"/>
      <c r="G683" s="67"/>
    </row>
    <row r="684" ht="15.75" customHeight="1">
      <c r="B684" s="65"/>
      <c r="C684" s="65"/>
      <c r="D684" s="65"/>
      <c r="E684" s="66"/>
      <c r="F684" s="65"/>
      <c r="G684" s="67"/>
    </row>
    <row r="685" ht="15.75" customHeight="1">
      <c r="B685" s="65"/>
      <c r="C685" s="65"/>
      <c r="D685" s="65"/>
      <c r="E685" s="66"/>
      <c r="F685" s="65"/>
      <c r="G685" s="67"/>
    </row>
    <row r="686" ht="15.75" customHeight="1">
      <c r="B686" s="65"/>
      <c r="C686" s="65"/>
      <c r="D686" s="65"/>
      <c r="E686" s="66"/>
      <c r="F686" s="65"/>
      <c r="G686" s="67"/>
    </row>
    <row r="687" ht="15.75" customHeight="1">
      <c r="B687" s="65"/>
      <c r="C687" s="65"/>
      <c r="D687" s="65"/>
      <c r="E687" s="66"/>
      <c r="F687" s="65"/>
      <c r="G687" s="67"/>
    </row>
    <row r="688" ht="15.75" customHeight="1">
      <c r="B688" s="65"/>
      <c r="C688" s="65"/>
      <c r="D688" s="65"/>
      <c r="E688" s="66"/>
      <c r="F688" s="65"/>
      <c r="G688" s="67"/>
    </row>
    <row r="689" ht="15.75" customHeight="1">
      <c r="B689" s="65"/>
      <c r="C689" s="65"/>
      <c r="D689" s="65"/>
      <c r="E689" s="66"/>
      <c r="F689" s="65"/>
      <c r="G689" s="67"/>
    </row>
    <row r="690" ht="15.75" customHeight="1">
      <c r="B690" s="65"/>
      <c r="C690" s="65"/>
      <c r="D690" s="65"/>
      <c r="E690" s="66"/>
      <c r="F690" s="65"/>
      <c r="G690" s="67"/>
    </row>
    <row r="691" ht="15.75" customHeight="1">
      <c r="B691" s="65"/>
      <c r="C691" s="65"/>
      <c r="D691" s="65"/>
      <c r="E691" s="66"/>
      <c r="F691" s="65"/>
      <c r="G691" s="67"/>
    </row>
    <row r="692" ht="15.75" customHeight="1">
      <c r="B692" s="65"/>
      <c r="C692" s="65"/>
      <c r="D692" s="65"/>
      <c r="E692" s="66"/>
      <c r="F692" s="65"/>
      <c r="G692" s="67"/>
    </row>
    <row r="693" ht="15.75" customHeight="1">
      <c r="B693" s="65"/>
      <c r="C693" s="65"/>
      <c r="D693" s="65"/>
      <c r="E693" s="66"/>
      <c r="F693" s="65"/>
      <c r="G693" s="67"/>
    </row>
    <row r="694" ht="15.75" customHeight="1">
      <c r="B694" s="65"/>
      <c r="C694" s="65"/>
      <c r="D694" s="65"/>
      <c r="E694" s="66"/>
      <c r="F694" s="65"/>
      <c r="G694" s="67"/>
    </row>
    <row r="695" ht="15.75" customHeight="1">
      <c r="B695" s="65"/>
      <c r="C695" s="65"/>
      <c r="D695" s="65"/>
      <c r="E695" s="66"/>
      <c r="F695" s="65"/>
      <c r="G695" s="67"/>
    </row>
    <row r="696" ht="15.75" customHeight="1">
      <c r="B696" s="65"/>
      <c r="C696" s="65"/>
      <c r="D696" s="65"/>
      <c r="E696" s="66"/>
      <c r="F696" s="65"/>
      <c r="G696" s="67"/>
    </row>
    <row r="697" ht="15.75" customHeight="1">
      <c r="B697" s="65"/>
      <c r="C697" s="65"/>
      <c r="D697" s="65"/>
      <c r="E697" s="66"/>
      <c r="F697" s="65"/>
      <c r="G697" s="67"/>
    </row>
    <row r="698" ht="15.75" customHeight="1">
      <c r="B698" s="65"/>
      <c r="C698" s="65"/>
      <c r="D698" s="65"/>
      <c r="E698" s="66"/>
      <c r="F698" s="65"/>
      <c r="G698" s="67"/>
    </row>
    <row r="699" ht="15.75" customHeight="1">
      <c r="B699" s="65"/>
      <c r="C699" s="65"/>
      <c r="D699" s="65"/>
      <c r="E699" s="66"/>
      <c r="F699" s="65"/>
      <c r="G699" s="67"/>
    </row>
    <row r="700" ht="15.75" customHeight="1">
      <c r="B700" s="65"/>
      <c r="C700" s="65"/>
      <c r="D700" s="65"/>
      <c r="E700" s="66"/>
      <c r="F700" s="65"/>
      <c r="G700" s="67"/>
    </row>
    <row r="701" ht="15.75" customHeight="1">
      <c r="B701" s="65"/>
      <c r="C701" s="65"/>
      <c r="D701" s="65"/>
      <c r="E701" s="66"/>
      <c r="F701" s="65"/>
      <c r="G701" s="67"/>
    </row>
    <row r="702" ht="15.75" customHeight="1">
      <c r="B702" s="65"/>
      <c r="C702" s="65"/>
      <c r="D702" s="65"/>
      <c r="E702" s="66"/>
      <c r="F702" s="65"/>
      <c r="G702" s="67"/>
    </row>
    <row r="703" ht="15.75" customHeight="1">
      <c r="B703" s="65"/>
      <c r="C703" s="65"/>
      <c r="D703" s="65"/>
      <c r="E703" s="66"/>
      <c r="F703" s="65"/>
      <c r="G703" s="67"/>
    </row>
    <row r="704" ht="15.75" customHeight="1">
      <c r="B704" s="65"/>
      <c r="C704" s="65"/>
      <c r="D704" s="65"/>
      <c r="E704" s="66"/>
      <c r="F704" s="65"/>
      <c r="G704" s="67"/>
    </row>
    <row r="705" ht="15.75" customHeight="1">
      <c r="B705" s="65"/>
      <c r="C705" s="65"/>
      <c r="D705" s="65"/>
      <c r="E705" s="66"/>
      <c r="F705" s="65"/>
      <c r="G705" s="67"/>
    </row>
    <row r="706" ht="15.75" customHeight="1">
      <c r="B706" s="65"/>
      <c r="C706" s="65"/>
      <c r="D706" s="65"/>
      <c r="E706" s="66"/>
      <c r="F706" s="65"/>
      <c r="G706" s="67"/>
    </row>
    <row r="707" ht="15.75" customHeight="1">
      <c r="B707" s="65"/>
      <c r="C707" s="65"/>
      <c r="D707" s="65"/>
      <c r="E707" s="66"/>
      <c r="F707" s="65"/>
      <c r="G707" s="67"/>
    </row>
    <row r="708" ht="15.75" customHeight="1">
      <c r="B708" s="65"/>
      <c r="C708" s="65"/>
      <c r="D708" s="65"/>
      <c r="E708" s="66"/>
      <c r="F708" s="65"/>
      <c r="G708" s="67"/>
    </row>
    <row r="709" ht="15.75" customHeight="1">
      <c r="B709" s="65"/>
      <c r="C709" s="65"/>
      <c r="D709" s="65"/>
      <c r="E709" s="66"/>
      <c r="F709" s="65"/>
      <c r="G709" s="67"/>
    </row>
    <row r="710" ht="15.75" customHeight="1">
      <c r="B710" s="65"/>
      <c r="C710" s="65"/>
      <c r="D710" s="65"/>
      <c r="E710" s="66"/>
      <c r="F710" s="65"/>
      <c r="G710" s="67"/>
    </row>
    <row r="711" ht="15.75" customHeight="1">
      <c r="B711" s="65"/>
      <c r="C711" s="65"/>
      <c r="D711" s="65"/>
      <c r="E711" s="66"/>
      <c r="F711" s="65"/>
      <c r="G711" s="67"/>
    </row>
    <row r="712" ht="15.75" customHeight="1">
      <c r="B712" s="65"/>
      <c r="C712" s="65"/>
      <c r="D712" s="65"/>
      <c r="E712" s="66"/>
      <c r="F712" s="65"/>
      <c r="G712" s="67"/>
    </row>
    <row r="713" ht="15.75" customHeight="1">
      <c r="B713" s="65"/>
      <c r="C713" s="65"/>
      <c r="D713" s="65"/>
      <c r="E713" s="66"/>
      <c r="F713" s="65"/>
      <c r="G713" s="67"/>
    </row>
    <row r="714" ht="15.75" customHeight="1">
      <c r="B714" s="65"/>
      <c r="C714" s="65"/>
      <c r="D714" s="65"/>
      <c r="E714" s="66"/>
      <c r="F714" s="65"/>
      <c r="G714" s="67"/>
    </row>
    <row r="715" ht="15.75" customHeight="1">
      <c r="B715" s="65"/>
      <c r="C715" s="65"/>
      <c r="D715" s="65"/>
      <c r="E715" s="66"/>
      <c r="F715" s="65"/>
      <c r="G715" s="67"/>
    </row>
    <row r="716" ht="15.75" customHeight="1">
      <c r="B716" s="65"/>
      <c r="C716" s="65"/>
      <c r="D716" s="65"/>
      <c r="E716" s="66"/>
      <c r="F716" s="65"/>
      <c r="G716" s="67"/>
    </row>
    <row r="717" ht="15.75" customHeight="1">
      <c r="B717" s="65"/>
      <c r="C717" s="65"/>
      <c r="D717" s="65"/>
      <c r="E717" s="66"/>
      <c r="F717" s="65"/>
      <c r="G717" s="67"/>
    </row>
    <row r="718" ht="15.75" customHeight="1">
      <c r="B718" s="65"/>
      <c r="C718" s="65"/>
      <c r="D718" s="65"/>
      <c r="E718" s="66"/>
      <c r="F718" s="65"/>
      <c r="G718" s="67"/>
    </row>
    <row r="719" ht="15.75" customHeight="1">
      <c r="B719" s="65"/>
      <c r="C719" s="65"/>
      <c r="D719" s="65"/>
      <c r="E719" s="66"/>
      <c r="F719" s="65"/>
      <c r="G719" s="67"/>
    </row>
    <row r="720" ht="15.75" customHeight="1">
      <c r="B720" s="65"/>
      <c r="C720" s="65"/>
      <c r="D720" s="65"/>
      <c r="E720" s="66"/>
      <c r="F720" s="65"/>
      <c r="G720" s="67"/>
    </row>
    <row r="721" ht="15.75" customHeight="1">
      <c r="B721" s="65"/>
      <c r="C721" s="65"/>
      <c r="D721" s="65"/>
      <c r="E721" s="66"/>
      <c r="F721" s="65"/>
      <c r="G721" s="67"/>
    </row>
    <row r="722" ht="15.75" customHeight="1">
      <c r="B722" s="65"/>
      <c r="C722" s="65"/>
      <c r="D722" s="65"/>
      <c r="E722" s="66"/>
      <c r="F722" s="65"/>
      <c r="G722" s="67"/>
    </row>
    <row r="723" ht="15.75" customHeight="1">
      <c r="B723" s="65"/>
      <c r="C723" s="65"/>
      <c r="D723" s="65"/>
      <c r="E723" s="66"/>
      <c r="F723" s="65"/>
      <c r="G723" s="67"/>
    </row>
    <row r="724" ht="15.75" customHeight="1">
      <c r="B724" s="65"/>
      <c r="C724" s="65"/>
      <c r="D724" s="65"/>
      <c r="E724" s="66"/>
      <c r="F724" s="65"/>
      <c r="G724" s="67"/>
    </row>
    <row r="725" ht="15.75" customHeight="1">
      <c r="B725" s="65"/>
      <c r="C725" s="65"/>
      <c r="D725" s="65"/>
      <c r="E725" s="66"/>
      <c r="F725" s="65"/>
      <c r="G725" s="67"/>
    </row>
    <row r="726" ht="15.75" customHeight="1">
      <c r="B726" s="65"/>
      <c r="C726" s="65"/>
      <c r="D726" s="65"/>
      <c r="E726" s="66"/>
      <c r="F726" s="65"/>
      <c r="G726" s="67"/>
    </row>
    <row r="727" ht="15.75" customHeight="1">
      <c r="B727" s="65"/>
      <c r="C727" s="65"/>
      <c r="D727" s="65"/>
      <c r="E727" s="66"/>
      <c r="F727" s="65"/>
      <c r="G727" s="67"/>
    </row>
    <row r="728" ht="15.75" customHeight="1">
      <c r="B728" s="65"/>
      <c r="C728" s="65"/>
      <c r="D728" s="65"/>
      <c r="E728" s="66"/>
      <c r="F728" s="65"/>
      <c r="G728" s="67"/>
    </row>
    <row r="729" ht="15.75" customHeight="1">
      <c r="B729" s="65"/>
      <c r="C729" s="65"/>
      <c r="D729" s="65"/>
      <c r="E729" s="66"/>
      <c r="F729" s="65"/>
      <c r="G729" s="67"/>
    </row>
    <row r="730" ht="15.75" customHeight="1">
      <c r="B730" s="65"/>
      <c r="C730" s="65"/>
      <c r="D730" s="65"/>
      <c r="E730" s="66"/>
      <c r="F730" s="65"/>
      <c r="G730" s="67"/>
    </row>
    <row r="731" ht="15.75" customHeight="1">
      <c r="B731" s="65"/>
      <c r="C731" s="65"/>
      <c r="D731" s="65"/>
      <c r="E731" s="66"/>
      <c r="F731" s="65"/>
      <c r="G731" s="67"/>
    </row>
    <row r="732" ht="15.75" customHeight="1">
      <c r="B732" s="65"/>
      <c r="C732" s="65"/>
      <c r="D732" s="65"/>
      <c r="E732" s="66"/>
      <c r="F732" s="65"/>
      <c r="G732" s="67"/>
    </row>
    <row r="733" ht="15.75" customHeight="1">
      <c r="B733" s="65"/>
      <c r="C733" s="65"/>
      <c r="D733" s="65"/>
      <c r="E733" s="66"/>
      <c r="F733" s="65"/>
      <c r="G733" s="67"/>
    </row>
    <row r="734" ht="15.75" customHeight="1">
      <c r="B734" s="65"/>
      <c r="C734" s="65"/>
      <c r="D734" s="65"/>
      <c r="E734" s="66"/>
      <c r="F734" s="65"/>
      <c r="G734" s="67"/>
    </row>
    <row r="735" ht="15.75" customHeight="1">
      <c r="B735" s="65"/>
      <c r="C735" s="65"/>
      <c r="D735" s="65"/>
      <c r="E735" s="66"/>
      <c r="F735" s="65"/>
      <c r="G735" s="67"/>
    </row>
    <row r="736" ht="15.75" customHeight="1">
      <c r="B736" s="65"/>
      <c r="C736" s="65"/>
      <c r="D736" s="65"/>
      <c r="E736" s="66"/>
      <c r="F736" s="65"/>
      <c r="G736" s="67"/>
    </row>
    <row r="737" ht="15.75" customHeight="1">
      <c r="B737" s="65"/>
      <c r="C737" s="65"/>
      <c r="D737" s="65"/>
      <c r="E737" s="66"/>
      <c r="F737" s="65"/>
      <c r="G737" s="67"/>
    </row>
    <row r="738" ht="15.75" customHeight="1">
      <c r="B738" s="65"/>
      <c r="C738" s="65"/>
      <c r="D738" s="65"/>
      <c r="E738" s="66"/>
      <c r="F738" s="65"/>
      <c r="G738" s="67"/>
    </row>
    <row r="739" ht="15.75" customHeight="1">
      <c r="B739" s="65"/>
      <c r="C739" s="65"/>
      <c r="D739" s="65"/>
      <c r="E739" s="66"/>
      <c r="F739" s="65"/>
      <c r="G739" s="67"/>
    </row>
    <row r="740" ht="15.75" customHeight="1">
      <c r="B740" s="65"/>
      <c r="C740" s="65"/>
      <c r="D740" s="65"/>
      <c r="E740" s="66"/>
      <c r="F740" s="65"/>
      <c r="G740" s="67"/>
    </row>
    <row r="741" ht="15.75" customHeight="1">
      <c r="B741" s="65"/>
      <c r="C741" s="65"/>
      <c r="D741" s="65"/>
      <c r="E741" s="66"/>
      <c r="F741" s="65"/>
      <c r="G741" s="67"/>
    </row>
    <row r="742" ht="15.75" customHeight="1">
      <c r="B742" s="65"/>
      <c r="C742" s="65"/>
      <c r="D742" s="65"/>
      <c r="E742" s="66"/>
      <c r="F742" s="65"/>
      <c r="G742" s="67"/>
    </row>
    <row r="743" ht="15.75" customHeight="1">
      <c r="B743" s="65"/>
      <c r="C743" s="65"/>
      <c r="D743" s="65"/>
      <c r="E743" s="66"/>
      <c r="F743" s="65"/>
      <c r="G743" s="67"/>
    </row>
    <row r="744" ht="15.75" customHeight="1">
      <c r="B744" s="65"/>
      <c r="C744" s="65"/>
      <c r="D744" s="65"/>
      <c r="E744" s="66"/>
      <c r="F744" s="65"/>
      <c r="G744" s="67"/>
    </row>
    <row r="745" ht="15.75" customHeight="1">
      <c r="B745" s="65"/>
      <c r="C745" s="65"/>
      <c r="D745" s="65"/>
      <c r="E745" s="66"/>
      <c r="F745" s="65"/>
      <c r="G745" s="67"/>
    </row>
    <row r="746" ht="15.75" customHeight="1">
      <c r="B746" s="65"/>
      <c r="C746" s="65"/>
      <c r="D746" s="65"/>
      <c r="E746" s="66"/>
      <c r="F746" s="65"/>
      <c r="G746" s="67"/>
    </row>
    <row r="747" ht="15.75" customHeight="1">
      <c r="B747" s="65"/>
      <c r="C747" s="65"/>
      <c r="D747" s="65"/>
      <c r="E747" s="66"/>
      <c r="F747" s="65"/>
      <c r="G747" s="67"/>
    </row>
    <row r="748" ht="15.75" customHeight="1">
      <c r="B748" s="65"/>
      <c r="C748" s="65"/>
      <c r="D748" s="65"/>
      <c r="E748" s="66"/>
      <c r="F748" s="65"/>
      <c r="G748" s="67"/>
    </row>
    <row r="749" ht="15.75" customHeight="1">
      <c r="B749" s="65"/>
      <c r="C749" s="65"/>
      <c r="D749" s="65"/>
      <c r="E749" s="66"/>
      <c r="F749" s="65"/>
      <c r="G749" s="67"/>
    </row>
    <row r="750" ht="15.75" customHeight="1">
      <c r="B750" s="65"/>
      <c r="C750" s="65"/>
      <c r="D750" s="65"/>
      <c r="E750" s="66"/>
      <c r="F750" s="65"/>
      <c r="G750" s="67"/>
    </row>
    <row r="751" ht="15.75" customHeight="1">
      <c r="B751" s="65"/>
      <c r="C751" s="65"/>
      <c r="D751" s="65"/>
      <c r="E751" s="66"/>
      <c r="F751" s="65"/>
      <c r="G751" s="67"/>
    </row>
    <row r="752" ht="15.75" customHeight="1">
      <c r="B752" s="65"/>
      <c r="C752" s="65"/>
      <c r="D752" s="65"/>
      <c r="E752" s="66"/>
      <c r="F752" s="65"/>
      <c r="G752" s="67"/>
    </row>
    <row r="753" ht="15.75" customHeight="1">
      <c r="B753" s="65"/>
      <c r="C753" s="65"/>
      <c r="D753" s="65"/>
      <c r="E753" s="66"/>
      <c r="F753" s="65"/>
      <c r="G753" s="67"/>
    </row>
    <row r="754" ht="15.75" customHeight="1">
      <c r="B754" s="65"/>
      <c r="C754" s="65"/>
      <c r="D754" s="65"/>
      <c r="E754" s="66"/>
      <c r="F754" s="65"/>
      <c r="G754" s="67"/>
    </row>
    <row r="755" ht="15.75" customHeight="1">
      <c r="B755" s="65"/>
      <c r="C755" s="65"/>
      <c r="D755" s="65"/>
      <c r="E755" s="66"/>
      <c r="F755" s="65"/>
      <c r="G755" s="67"/>
    </row>
    <row r="756" ht="15.75" customHeight="1">
      <c r="B756" s="65"/>
      <c r="C756" s="65"/>
      <c r="D756" s="65"/>
      <c r="E756" s="66"/>
      <c r="F756" s="65"/>
      <c r="G756" s="67"/>
    </row>
    <row r="757" ht="15.75" customHeight="1">
      <c r="B757" s="65"/>
      <c r="C757" s="65"/>
      <c r="D757" s="65"/>
      <c r="E757" s="66"/>
      <c r="F757" s="65"/>
      <c r="G757" s="67"/>
    </row>
    <row r="758" ht="15.75" customHeight="1">
      <c r="B758" s="65"/>
      <c r="C758" s="65"/>
      <c r="D758" s="65"/>
      <c r="E758" s="66"/>
      <c r="F758" s="65"/>
      <c r="G758" s="67"/>
    </row>
    <row r="759" ht="15.75" customHeight="1">
      <c r="B759" s="65"/>
      <c r="C759" s="65"/>
      <c r="D759" s="65"/>
      <c r="E759" s="66"/>
      <c r="F759" s="65"/>
      <c r="G759" s="67"/>
    </row>
    <row r="760" ht="15.75" customHeight="1">
      <c r="B760" s="65"/>
      <c r="C760" s="65"/>
      <c r="D760" s="65"/>
      <c r="E760" s="66"/>
      <c r="F760" s="65"/>
      <c r="G760" s="67"/>
    </row>
    <row r="761" ht="15.75" customHeight="1">
      <c r="B761" s="65"/>
      <c r="C761" s="65"/>
      <c r="D761" s="65"/>
      <c r="E761" s="66"/>
      <c r="F761" s="65"/>
      <c r="G761" s="67"/>
    </row>
    <row r="762" ht="15.75" customHeight="1">
      <c r="B762" s="65"/>
      <c r="C762" s="65"/>
      <c r="D762" s="65"/>
      <c r="E762" s="66"/>
      <c r="F762" s="65"/>
      <c r="G762" s="67"/>
    </row>
    <row r="763" ht="15.75" customHeight="1">
      <c r="B763" s="65"/>
      <c r="C763" s="65"/>
      <c r="D763" s="65"/>
      <c r="E763" s="66"/>
      <c r="F763" s="65"/>
      <c r="G763" s="67"/>
    </row>
    <row r="764" ht="15.75" customHeight="1">
      <c r="B764" s="65"/>
      <c r="C764" s="65"/>
      <c r="D764" s="65"/>
      <c r="E764" s="66"/>
      <c r="F764" s="65"/>
      <c r="G764" s="67"/>
    </row>
    <row r="765" ht="15.75" customHeight="1">
      <c r="B765" s="65"/>
      <c r="C765" s="65"/>
      <c r="D765" s="65"/>
      <c r="E765" s="66"/>
      <c r="F765" s="65"/>
      <c r="G765" s="67"/>
    </row>
    <row r="766" ht="15.75" customHeight="1">
      <c r="B766" s="65"/>
      <c r="C766" s="65"/>
      <c r="D766" s="65"/>
      <c r="E766" s="66"/>
      <c r="F766" s="65"/>
      <c r="G766" s="67"/>
    </row>
    <row r="767" ht="15.75" customHeight="1">
      <c r="B767" s="65"/>
      <c r="C767" s="65"/>
      <c r="D767" s="65"/>
      <c r="E767" s="66"/>
      <c r="F767" s="65"/>
      <c r="G767" s="67"/>
    </row>
    <row r="768" ht="15.75" customHeight="1">
      <c r="B768" s="65"/>
      <c r="C768" s="65"/>
      <c r="D768" s="65"/>
      <c r="E768" s="66"/>
      <c r="F768" s="65"/>
      <c r="G768" s="67"/>
    </row>
    <row r="769" ht="15.75" customHeight="1">
      <c r="B769" s="65"/>
      <c r="C769" s="65"/>
      <c r="D769" s="65"/>
      <c r="E769" s="66"/>
      <c r="F769" s="65"/>
      <c r="G769" s="67"/>
    </row>
    <row r="770" ht="15.75" customHeight="1">
      <c r="B770" s="65"/>
      <c r="C770" s="65"/>
      <c r="D770" s="65"/>
      <c r="E770" s="66"/>
      <c r="F770" s="65"/>
      <c r="G770" s="67"/>
    </row>
    <row r="771" ht="15.75" customHeight="1">
      <c r="B771" s="65"/>
      <c r="C771" s="65"/>
      <c r="D771" s="65"/>
      <c r="E771" s="66"/>
      <c r="F771" s="65"/>
      <c r="G771" s="67"/>
    </row>
    <row r="772" ht="15.75" customHeight="1">
      <c r="B772" s="65"/>
      <c r="C772" s="65"/>
      <c r="D772" s="65"/>
      <c r="E772" s="66"/>
      <c r="F772" s="65"/>
      <c r="G772" s="67"/>
    </row>
    <row r="773" ht="15.75" customHeight="1">
      <c r="B773" s="65"/>
      <c r="C773" s="65"/>
      <c r="D773" s="65"/>
      <c r="E773" s="66"/>
      <c r="F773" s="65"/>
      <c r="G773" s="67"/>
    </row>
    <row r="774" ht="15.75" customHeight="1">
      <c r="B774" s="65"/>
      <c r="C774" s="65"/>
      <c r="D774" s="65"/>
      <c r="E774" s="66"/>
      <c r="F774" s="65"/>
      <c r="G774" s="67"/>
    </row>
    <row r="775" ht="15.75" customHeight="1">
      <c r="B775" s="65"/>
      <c r="C775" s="65"/>
      <c r="D775" s="65"/>
      <c r="E775" s="66"/>
      <c r="F775" s="65"/>
      <c r="G775" s="67"/>
    </row>
    <row r="776" ht="15.75" customHeight="1">
      <c r="B776" s="65"/>
      <c r="C776" s="65"/>
      <c r="D776" s="65"/>
      <c r="E776" s="66"/>
      <c r="F776" s="65"/>
      <c r="G776" s="67"/>
    </row>
    <row r="777" ht="15.75" customHeight="1">
      <c r="B777" s="65"/>
      <c r="C777" s="65"/>
      <c r="D777" s="65"/>
      <c r="E777" s="66"/>
      <c r="F777" s="65"/>
      <c r="G777" s="67"/>
    </row>
    <row r="778" ht="15.75" customHeight="1">
      <c r="B778" s="65"/>
      <c r="C778" s="65"/>
      <c r="D778" s="65"/>
      <c r="E778" s="66"/>
      <c r="F778" s="65"/>
      <c r="G778" s="67"/>
    </row>
    <row r="779" ht="15.75" customHeight="1">
      <c r="B779" s="65"/>
      <c r="C779" s="65"/>
      <c r="D779" s="65"/>
      <c r="E779" s="66"/>
      <c r="F779" s="65"/>
      <c r="G779" s="67"/>
    </row>
    <row r="780" ht="15.75" customHeight="1">
      <c r="B780" s="65"/>
      <c r="C780" s="65"/>
      <c r="D780" s="65"/>
      <c r="E780" s="66"/>
      <c r="F780" s="65"/>
      <c r="G780" s="67"/>
    </row>
    <row r="781" ht="15.75" customHeight="1">
      <c r="B781" s="65"/>
      <c r="C781" s="65"/>
      <c r="D781" s="65"/>
      <c r="E781" s="66"/>
      <c r="F781" s="65"/>
      <c r="G781" s="67"/>
    </row>
    <row r="782" ht="15.75" customHeight="1">
      <c r="B782" s="65"/>
      <c r="C782" s="65"/>
      <c r="D782" s="65"/>
      <c r="E782" s="66"/>
      <c r="F782" s="65"/>
      <c r="G782" s="67"/>
    </row>
    <row r="783" ht="15.75" customHeight="1">
      <c r="B783" s="65"/>
      <c r="C783" s="65"/>
      <c r="D783" s="65"/>
      <c r="E783" s="66"/>
      <c r="F783" s="65"/>
      <c r="G783" s="67"/>
    </row>
    <row r="784" ht="15.75" customHeight="1">
      <c r="B784" s="65"/>
      <c r="C784" s="65"/>
      <c r="D784" s="65"/>
      <c r="E784" s="66"/>
      <c r="F784" s="65"/>
      <c r="G784" s="67"/>
    </row>
    <row r="785" ht="15.75" customHeight="1">
      <c r="B785" s="65"/>
      <c r="C785" s="65"/>
      <c r="D785" s="65"/>
      <c r="E785" s="66"/>
      <c r="F785" s="65"/>
      <c r="G785" s="67"/>
    </row>
    <row r="786" ht="15.75" customHeight="1">
      <c r="B786" s="65"/>
      <c r="C786" s="65"/>
      <c r="D786" s="65"/>
      <c r="E786" s="66"/>
      <c r="F786" s="65"/>
      <c r="G786" s="67"/>
    </row>
    <row r="787" ht="15.75" customHeight="1">
      <c r="B787" s="65"/>
      <c r="C787" s="65"/>
      <c r="D787" s="65"/>
      <c r="E787" s="66"/>
      <c r="F787" s="65"/>
      <c r="G787" s="67"/>
    </row>
    <row r="788" ht="15.75" customHeight="1">
      <c r="B788" s="65"/>
      <c r="C788" s="65"/>
      <c r="D788" s="65"/>
      <c r="E788" s="66"/>
      <c r="F788" s="65"/>
      <c r="G788" s="67"/>
    </row>
    <row r="789" ht="15.75" customHeight="1">
      <c r="B789" s="65"/>
      <c r="C789" s="65"/>
      <c r="D789" s="65"/>
      <c r="E789" s="66"/>
      <c r="F789" s="65"/>
      <c r="G789" s="67"/>
    </row>
    <row r="790" ht="15.75" customHeight="1">
      <c r="B790" s="65"/>
      <c r="C790" s="65"/>
      <c r="D790" s="65"/>
      <c r="E790" s="66"/>
      <c r="F790" s="65"/>
      <c r="G790" s="67"/>
    </row>
    <row r="791" ht="15.75" customHeight="1">
      <c r="B791" s="65"/>
      <c r="C791" s="65"/>
      <c r="D791" s="65"/>
      <c r="E791" s="66"/>
      <c r="F791" s="65"/>
      <c r="G791" s="67"/>
    </row>
    <row r="792" ht="15.75" customHeight="1">
      <c r="B792" s="65"/>
      <c r="C792" s="65"/>
      <c r="D792" s="65"/>
      <c r="E792" s="66"/>
      <c r="F792" s="65"/>
      <c r="G792" s="67"/>
    </row>
    <row r="793" ht="15.75" customHeight="1">
      <c r="B793" s="65"/>
      <c r="C793" s="65"/>
      <c r="D793" s="65"/>
      <c r="E793" s="66"/>
      <c r="F793" s="65"/>
      <c r="G793" s="67"/>
    </row>
    <row r="794" ht="15.75" customHeight="1">
      <c r="B794" s="65"/>
      <c r="C794" s="65"/>
      <c r="D794" s="65"/>
      <c r="E794" s="66"/>
      <c r="F794" s="65"/>
      <c r="G794" s="67"/>
    </row>
    <row r="795" ht="15.75" customHeight="1">
      <c r="B795" s="65"/>
      <c r="C795" s="65"/>
      <c r="D795" s="65"/>
      <c r="E795" s="66"/>
      <c r="F795" s="65"/>
      <c r="G795" s="67"/>
    </row>
    <row r="796" ht="15.75" customHeight="1">
      <c r="B796" s="65"/>
      <c r="C796" s="65"/>
      <c r="D796" s="65"/>
      <c r="E796" s="66"/>
      <c r="F796" s="65"/>
      <c r="G796" s="67"/>
    </row>
    <row r="797" ht="15.75" customHeight="1">
      <c r="B797" s="65"/>
      <c r="C797" s="65"/>
      <c r="D797" s="65"/>
      <c r="E797" s="66"/>
      <c r="F797" s="65"/>
      <c r="G797" s="67"/>
    </row>
    <row r="798" ht="15.75" customHeight="1">
      <c r="B798" s="65"/>
      <c r="C798" s="65"/>
      <c r="D798" s="65"/>
      <c r="E798" s="66"/>
      <c r="F798" s="65"/>
      <c r="G798" s="67"/>
    </row>
    <row r="799" ht="15.75" customHeight="1">
      <c r="B799" s="65"/>
      <c r="C799" s="65"/>
      <c r="D799" s="65"/>
      <c r="E799" s="66"/>
      <c r="F799" s="65"/>
      <c r="G799" s="67"/>
    </row>
    <row r="800" ht="15.75" customHeight="1">
      <c r="B800" s="65"/>
      <c r="C800" s="65"/>
      <c r="D800" s="65"/>
      <c r="E800" s="66"/>
      <c r="F800" s="65"/>
      <c r="G800" s="67"/>
    </row>
    <row r="801" ht="15.75" customHeight="1">
      <c r="B801" s="65"/>
      <c r="C801" s="65"/>
      <c r="D801" s="65"/>
      <c r="E801" s="66"/>
      <c r="F801" s="65"/>
      <c r="G801" s="67"/>
    </row>
    <row r="802" ht="15.75" customHeight="1">
      <c r="B802" s="65"/>
      <c r="C802" s="65"/>
      <c r="D802" s="65"/>
      <c r="E802" s="66"/>
      <c r="F802" s="65"/>
      <c r="G802" s="67"/>
    </row>
    <row r="803" ht="15.75" customHeight="1">
      <c r="B803" s="65"/>
      <c r="C803" s="65"/>
      <c r="D803" s="65"/>
      <c r="E803" s="66"/>
      <c r="F803" s="65"/>
      <c r="G803" s="67"/>
    </row>
    <row r="804" ht="15.75" customHeight="1">
      <c r="B804" s="65"/>
      <c r="C804" s="65"/>
      <c r="D804" s="65"/>
      <c r="E804" s="66"/>
      <c r="F804" s="65"/>
      <c r="G804" s="67"/>
    </row>
    <row r="805" ht="15.75" customHeight="1">
      <c r="B805" s="65"/>
      <c r="C805" s="65"/>
      <c r="D805" s="65"/>
      <c r="E805" s="66"/>
      <c r="F805" s="65"/>
      <c r="G805" s="67"/>
    </row>
    <row r="806" ht="15.75" customHeight="1">
      <c r="B806" s="65"/>
      <c r="C806" s="65"/>
      <c r="D806" s="65"/>
      <c r="E806" s="66"/>
      <c r="F806" s="65"/>
      <c r="G806" s="67"/>
    </row>
    <row r="807" ht="15.75" customHeight="1">
      <c r="B807" s="65"/>
      <c r="C807" s="65"/>
      <c r="D807" s="65"/>
      <c r="E807" s="66"/>
      <c r="F807" s="65"/>
      <c r="G807" s="67"/>
    </row>
    <row r="808" ht="15.75" customHeight="1">
      <c r="B808" s="65"/>
      <c r="C808" s="65"/>
      <c r="D808" s="65"/>
      <c r="E808" s="66"/>
      <c r="F808" s="65"/>
      <c r="G808" s="67"/>
    </row>
    <row r="809" ht="15.75" customHeight="1">
      <c r="B809" s="65"/>
      <c r="C809" s="65"/>
      <c r="D809" s="65"/>
      <c r="E809" s="66"/>
      <c r="F809" s="65"/>
      <c r="G809" s="67"/>
    </row>
    <row r="810" ht="15.75" customHeight="1">
      <c r="B810" s="65"/>
      <c r="C810" s="65"/>
      <c r="D810" s="65"/>
      <c r="E810" s="66"/>
      <c r="F810" s="65"/>
      <c r="G810" s="67"/>
    </row>
    <row r="811" ht="15.75" customHeight="1">
      <c r="B811" s="65"/>
      <c r="C811" s="65"/>
      <c r="D811" s="65"/>
      <c r="E811" s="66"/>
      <c r="F811" s="65"/>
      <c r="G811" s="67"/>
    </row>
    <row r="812" ht="15.75" customHeight="1">
      <c r="B812" s="65"/>
      <c r="C812" s="65"/>
      <c r="D812" s="65"/>
      <c r="E812" s="66"/>
      <c r="F812" s="65"/>
      <c r="G812" s="67"/>
    </row>
    <row r="813" ht="15.75" customHeight="1">
      <c r="B813" s="65"/>
      <c r="C813" s="65"/>
      <c r="D813" s="65"/>
      <c r="E813" s="66"/>
      <c r="F813" s="65"/>
      <c r="G813" s="67"/>
    </row>
    <row r="814" ht="15.75" customHeight="1">
      <c r="B814" s="65"/>
      <c r="C814" s="65"/>
      <c r="D814" s="65"/>
      <c r="E814" s="66"/>
      <c r="F814" s="65"/>
      <c r="G814" s="67"/>
    </row>
    <row r="815" ht="15.75" customHeight="1">
      <c r="B815" s="65"/>
      <c r="C815" s="65"/>
      <c r="D815" s="65"/>
      <c r="E815" s="66"/>
      <c r="F815" s="65"/>
      <c r="G815" s="67"/>
    </row>
    <row r="816" ht="15.75" customHeight="1">
      <c r="B816" s="65"/>
      <c r="C816" s="65"/>
      <c r="D816" s="65"/>
      <c r="E816" s="66"/>
      <c r="F816" s="65"/>
      <c r="G816" s="67"/>
    </row>
    <row r="817" ht="15.75" customHeight="1">
      <c r="B817" s="65"/>
      <c r="C817" s="65"/>
      <c r="D817" s="65"/>
      <c r="E817" s="66"/>
      <c r="F817" s="65"/>
      <c r="G817" s="67"/>
    </row>
    <row r="818" ht="15.75" customHeight="1">
      <c r="B818" s="65"/>
      <c r="C818" s="65"/>
      <c r="D818" s="65"/>
      <c r="E818" s="66"/>
      <c r="F818" s="65"/>
      <c r="G818" s="67"/>
    </row>
    <row r="819" ht="15.75" customHeight="1">
      <c r="B819" s="65"/>
      <c r="C819" s="65"/>
      <c r="D819" s="65"/>
      <c r="E819" s="66"/>
      <c r="F819" s="65"/>
      <c r="G819" s="67"/>
    </row>
    <row r="820" ht="15.75" customHeight="1">
      <c r="B820" s="65"/>
      <c r="C820" s="65"/>
      <c r="D820" s="65"/>
      <c r="E820" s="66"/>
      <c r="F820" s="65"/>
      <c r="G820" s="67"/>
    </row>
    <row r="821" ht="15.75" customHeight="1">
      <c r="B821" s="65"/>
      <c r="C821" s="65"/>
      <c r="D821" s="65"/>
      <c r="E821" s="66"/>
      <c r="F821" s="65"/>
      <c r="G821" s="67"/>
    </row>
    <row r="822" ht="15.75" customHeight="1">
      <c r="B822" s="65"/>
      <c r="C822" s="65"/>
      <c r="D822" s="65"/>
      <c r="E822" s="66"/>
      <c r="F822" s="65"/>
      <c r="G822" s="67"/>
    </row>
    <row r="823" ht="15.75" customHeight="1">
      <c r="B823" s="65"/>
      <c r="C823" s="65"/>
      <c r="D823" s="65"/>
      <c r="E823" s="66"/>
      <c r="F823" s="65"/>
      <c r="G823" s="67"/>
    </row>
    <row r="824" ht="15.75" customHeight="1">
      <c r="B824" s="65"/>
      <c r="C824" s="65"/>
      <c r="D824" s="65"/>
      <c r="E824" s="66"/>
      <c r="F824" s="65"/>
      <c r="G824" s="67"/>
    </row>
    <row r="825" ht="15.75" customHeight="1">
      <c r="B825" s="65"/>
      <c r="C825" s="65"/>
      <c r="D825" s="65"/>
      <c r="E825" s="66"/>
      <c r="F825" s="65"/>
      <c r="G825" s="67"/>
    </row>
    <row r="826" ht="15.75" customHeight="1">
      <c r="B826" s="65"/>
      <c r="C826" s="65"/>
      <c r="D826" s="65"/>
      <c r="E826" s="66"/>
      <c r="F826" s="65"/>
      <c r="G826" s="67"/>
    </row>
    <row r="827" ht="15.75" customHeight="1">
      <c r="B827" s="65"/>
      <c r="C827" s="65"/>
      <c r="D827" s="65"/>
      <c r="E827" s="66"/>
      <c r="F827" s="65"/>
      <c r="G827" s="67"/>
    </row>
    <row r="828" ht="15.75" customHeight="1">
      <c r="B828" s="65"/>
      <c r="C828" s="65"/>
      <c r="D828" s="65"/>
      <c r="E828" s="66"/>
      <c r="F828" s="65"/>
      <c r="G828" s="67"/>
    </row>
    <row r="829" ht="15.75" customHeight="1">
      <c r="B829" s="65"/>
      <c r="C829" s="65"/>
      <c r="D829" s="65"/>
      <c r="E829" s="66"/>
      <c r="F829" s="65"/>
      <c r="G829" s="67"/>
    </row>
    <row r="830" ht="15.75" customHeight="1">
      <c r="B830" s="65"/>
      <c r="C830" s="65"/>
      <c r="D830" s="65"/>
      <c r="E830" s="66"/>
      <c r="F830" s="65"/>
      <c r="G830" s="67"/>
    </row>
    <row r="831" ht="15.75" customHeight="1">
      <c r="B831" s="65"/>
      <c r="C831" s="65"/>
      <c r="D831" s="65"/>
      <c r="E831" s="66"/>
      <c r="F831" s="65"/>
      <c r="G831" s="67"/>
    </row>
    <row r="832" ht="15.75" customHeight="1">
      <c r="B832" s="65"/>
      <c r="C832" s="65"/>
      <c r="D832" s="65"/>
      <c r="E832" s="66"/>
      <c r="F832" s="65"/>
      <c r="G832" s="67"/>
    </row>
    <row r="833" ht="15.75" customHeight="1">
      <c r="B833" s="65"/>
      <c r="C833" s="65"/>
      <c r="D833" s="65"/>
      <c r="E833" s="66"/>
      <c r="F833" s="65"/>
      <c r="G833" s="67"/>
    </row>
    <row r="834" ht="15.75" customHeight="1">
      <c r="B834" s="65"/>
      <c r="C834" s="65"/>
      <c r="D834" s="65"/>
      <c r="E834" s="66"/>
      <c r="F834" s="65"/>
      <c r="G834" s="67"/>
    </row>
    <row r="835" ht="15.75" customHeight="1">
      <c r="B835" s="65"/>
      <c r="C835" s="65"/>
      <c r="D835" s="65"/>
      <c r="E835" s="66"/>
      <c r="F835" s="65"/>
      <c r="G835" s="67"/>
    </row>
    <row r="836" ht="15.75" customHeight="1">
      <c r="B836" s="65"/>
      <c r="C836" s="65"/>
      <c r="D836" s="65"/>
      <c r="E836" s="66"/>
      <c r="F836" s="65"/>
      <c r="G836" s="67"/>
    </row>
    <row r="837" ht="15.75" customHeight="1">
      <c r="B837" s="65"/>
      <c r="C837" s="65"/>
      <c r="D837" s="65"/>
      <c r="E837" s="66"/>
      <c r="F837" s="65"/>
      <c r="G837" s="67"/>
    </row>
    <row r="838" ht="15.75" customHeight="1">
      <c r="B838" s="65"/>
      <c r="C838" s="65"/>
      <c r="D838" s="65"/>
      <c r="E838" s="66"/>
      <c r="F838" s="65"/>
      <c r="G838" s="67"/>
    </row>
    <row r="839" ht="15.75" customHeight="1">
      <c r="B839" s="65"/>
      <c r="C839" s="65"/>
      <c r="D839" s="65"/>
      <c r="E839" s="66"/>
      <c r="F839" s="65"/>
      <c r="G839" s="67"/>
    </row>
    <row r="840" ht="15.75" customHeight="1">
      <c r="B840" s="65"/>
      <c r="C840" s="65"/>
      <c r="D840" s="65"/>
      <c r="E840" s="66"/>
      <c r="F840" s="65"/>
      <c r="G840" s="67"/>
    </row>
    <row r="841" ht="15.75" customHeight="1">
      <c r="B841" s="65"/>
      <c r="C841" s="65"/>
      <c r="D841" s="65"/>
      <c r="E841" s="66"/>
      <c r="F841" s="65"/>
      <c r="G841" s="67"/>
    </row>
    <row r="842" ht="15.75" customHeight="1">
      <c r="B842" s="65"/>
      <c r="C842" s="65"/>
      <c r="D842" s="65"/>
      <c r="E842" s="66"/>
      <c r="F842" s="65"/>
      <c r="G842" s="67"/>
    </row>
    <row r="843" ht="15.75" customHeight="1">
      <c r="B843" s="65"/>
      <c r="C843" s="65"/>
      <c r="D843" s="65"/>
      <c r="E843" s="66"/>
      <c r="F843" s="65"/>
      <c r="G843" s="67"/>
    </row>
    <row r="844" ht="15.75" customHeight="1">
      <c r="B844" s="65"/>
      <c r="C844" s="65"/>
      <c r="D844" s="65"/>
      <c r="E844" s="66"/>
      <c r="F844" s="65"/>
      <c r="G844" s="67"/>
    </row>
    <row r="845" ht="15.75" customHeight="1">
      <c r="B845" s="65"/>
      <c r="C845" s="65"/>
      <c r="D845" s="65"/>
      <c r="E845" s="66"/>
      <c r="F845" s="65"/>
      <c r="G845" s="67"/>
    </row>
    <row r="846" ht="15.75" customHeight="1">
      <c r="B846" s="65"/>
      <c r="C846" s="65"/>
      <c r="D846" s="65"/>
      <c r="E846" s="66"/>
      <c r="F846" s="65"/>
      <c r="G846" s="67"/>
    </row>
    <row r="847" ht="15.75" customHeight="1">
      <c r="B847" s="65"/>
      <c r="C847" s="65"/>
      <c r="D847" s="65"/>
      <c r="E847" s="66"/>
      <c r="F847" s="65"/>
      <c r="G847" s="67"/>
    </row>
    <row r="848" ht="15.75" customHeight="1">
      <c r="B848" s="65"/>
      <c r="C848" s="65"/>
      <c r="D848" s="65"/>
      <c r="E848" s="66"/>
      <c r="F848" s="65"/>
      <c r="G848" s="67"/>
    </row>
    <row r="849" ht="15.75" customHeight="1">
      <c r="B849" s="65"/>
      <c r="C849" s="65"/>
      <c r="D849" s="65"/>
      <c r="E849" s="66"/>
      <c r="F849" s="65"/>
      <c r="G849" s="67"/>
    </row>
    <row r="850" ht="15.75" customHeight="1">
      <c r="B850" s="65"/>
      <c r="C850" s="65"/>
      <c r="D850" s="65"/>
      <c r="E850" s="66"/>
      <c r="F850" s="65"/>
      <c r="G850" s="67"/>
    </row>
    <row r="851" ht="15.75" customHeight="1">
      <c r="B851" s="65"/>
      <c r="C851" s="65"/>
      <c r="D851" s="65"/>
      <c r="E851" s="66"/>
      <c r="F851" s="65"/>
      <c r="G851" s="67"/>
    </row>
    <row r="852" ht="15.75" customHeight="1">
      <c r="B852" s="65"/>
      <c r="C852" s="65"/>
      <c r="D852" s="65"/>
      <c r="E852" s="66"/>
      <c r="F852" s="65"/>
      <c r="G852" s="67"/>
    </row>
    <row r="853" ht="15.75" customHeight="1">
      <c r="B853" s="65"/>
      <c r="C853" s="65"/>
      <c r="D853" s="65"/>
      <c r="E853" s="66"/>
      <c r="F853" s="65"/>
      <c r="G853" s="67"/>
    </row>
    <row r="854" ht="15.75" customHeight="1">
      <c r="B854" s="65"/>
      <c r="C854" s="65"/>
      <c r="D854" s="65"/>
      <c r="E854" s="66"/>
      <c r="F854" s="65"/>
      <c r="G854" s="67"/>
    </row>
    <row r="855" ht="15.75" customHeight="1">
      <c r="B855" s="65"/>
      <c r="C855" s="65"/>
      <c r="D855" s="65"/>
      <c r="E855" s="66"/>
      <c r="F855" s="65"/>
      <c r="G855" s="67"/>
    </row>
    <row r="856" ht="15.75" customHeight="1">
      <c r="B856" s="65"/>
      <c r="C856" s="65"/>
      <c r="D856" s="65"/>
      <c r="E856" s="66"/>
      <c r="F856" s="65"/>
      <c r="G856" s="67"/>
    </row>
    <row r="857" ht="15.75" customHeight="1">
      <c r="B857" s="65"/>
      <c r="C857" s="65"/>
      <c r="D857" s="65"/>
      <c r="E857" s="66"/>
      <c r="F857" s="65"/>
      <c r="G857" s="67"/>
    </row>
    <row r="858" ht="15.75" customHeight="1">
      <c r="B858" s="65"/>
      <c r="C858" s="65"/>
      <c r="D858" s="65"/>
      <c r="E858" s="66"/>
      <c r="F858" s="65"/>
      <c r="G858" s="67"/>
    </row>
    <row r="859" ht="15.75" customHeight="1">
      <c r="B859" s="65"/>
      <c r="C859" s="65"/>
      <c r="D859" s="65"/>
      <c r="E859" s="66"/>
      <c r="F859" s="65"/>
      <c r="G859" s="67"/>
    </row>
    <row r="860" ht="15.75" customHeight="1">
      <c r="B860" s="65"/>
      <c r="C860" s="65"/>
      <c r="D860" s="65"/>
      <c r="E860" s="66"/>
      <c r="F860" s="65"/>
      <c r="G860" s="67"/>
    </row>
    <row r="861" ht="15.75" customHeight="1">
      <c r="B861" s="65"/>
      <c r="C861" s="65"/>
      <c r="D861" s="65"/>
      <c r="E861" s="66"/>
      <c r="F861" s="65"/>
      <c r="G861" s="67"/>
    </row>
    <row r="862" ht="15.75" customHeight="1">
      <c r="B862" s="65"/>
      <c r="C862" s="65"/>
      <c r="D862" s="65"/>
      <c r="E862" s="66"/>
      <c r="F862" s="65"/>
      <c r="G862" s="67"/>
    </row>
    <row r="863" ht="15.75" customHeight="1">
      <c r="B863" s="65"/>
      <c r="C863" s="65"/>
      <c r="D863" s="65"/>
      <c r="E863" s="66"/>
      <c r="F863" s="65"/>
      <c r="G863" s="67"/>
    </row>
    <row r="864" ht="15.75" customHeight="1">
      <c r="B864" s="65"/>
      <c r="C864" s="65"/>
      <c r="D864" s="65"/>
      <c r="E864" s="66"/>
      <c r="F864" s="65"/>
      <c r="G864" s="67"/>
    </row>
    <row r="865" ht="15.75" customHeight="1">
      <c r="B865" s="65"/>
      <c r="C865" s="65"/>
      <c r="D865" s="65"/>
      <c r="E865" s="66"/>
      <c r="F865" s="65"/>
      <c r="G865" s="67"/>
    </row>
    <row r="866" ht="15.75" customHeight="1">
      <c r="B866" s="65"/>
      <c r="C866" s="65"/>
      <c r="D866" s="65"/>
      <c r="E866" s="66"/>
      <c r="F866" s="65"/>
      <c r="G866" s="67"/>
    </row>
    <row r="867" ht="15.75" customHeight="1">
      <c r="B867" s="65"/>
      <c r="C867" s="65"/>
      <c r="D867" s="65"/>
      <c r="E867" s="66"/>
      <c r="F867" s="65"/>
      <c r="G867" s="67"/>
    </row>
    <row r="868" ht="15.75" customHeight="1">
      <c r="B868" s="65"/>
      <c r="C868" s="65"/>
      <c r="D868" s="65"/>
      <c r="E868" s="66"/>
      <c r="F868" s="65"/>
      <c r="G868" s="67"/>
    </row>
    <row r="869" ht="15.75" customHeight="1">
      <c r="B869" s="65"/>
      <c r="C869" s="65"/>
      <c r="D869" s="65"/>
      <c r="E869" s="66"/>
      <c r="F869" s="65"/>
      <c r="G869" s="67"/>
    </row>
    <row r="870" ht="15.75" customHeight="1">
      <c r="B870" s="65"/>
      <c r="C870" s="65"/>
      <c r="D870" s="65"/>
      <c r="E870" s="66"/>
      <c r="F870" s="65"/>
      <c r="G870" s="67"/>
    </row>
    <row r="871" ht="15.75" customHeight="1">
      <c r="B871" s="65"/>
      <c r="C871" s="65"/>
      <c r="D871" s="65"/>
      <c r="E871" s="66"/>
      <c r="F871" s="65"/>
      <c r="G871" s="67"/>
    </row>
    <row r="872" ht="15.75" customHeight="1">
      <c r="B872" s="65"/>
      <c r="C872" s="65"/>
      <c r="D872" s="65"/>
      <c r="E872" s="66"/>
      <c r="F872" s="65"/>
      <c r="G872" s="67"/>
    </row>
    <row r="873" ht="15.75" customHeight="1">
      <c r="B873" s="65"/>
      <c r="C873" s="65"/>
      <c r="D873" s="65"/>
      <c r="E873" s="66"/>
      <c r="F873" s="65"/>
      <c r="G873" s="67"/>
    </row>
    <row r="874" ht="15.75" customHeight="1">
      <c r="B874" s="65"/>
      <c r="C874" s="65"/>
      <c r="D874" s="65"/>
      <c r="E874" s="66"/>
      <c r="F874" s="65"/>
      <c r="G874" s="67"/>
    </row>
    <row r="875" ht="15.75" customHeight="1">
      <c r="B875" s="65"/>
      <c r="C875" s="65"/>
      <c r="D875" s="65"/>
      <c r="E875" s="66"/>
      <c r="F875" s="65"/>
      <c r="G875" s="67"/>
    </row>
    <row r="876" ht="15.75" customHeight="1">
      <c r="B876" s="65"/>
      <c r="C876" s="65"/>
      <c r="D876" s="65"/>
      <c r="E876" s="66"/>
      <c r="F876" s="65"/>
      <c r="G876" s="67"/>
    </row>
    <row r="877" ht="15.75" customHeight="1">
      <c r="B877" s="65"/>
      <c r="C877" s="65"/>
      <c r="D877" s="65"/>
      <c r="E877" s="66"/>
      <c r="F877" s="65"/>
      <c r="G877" s="67"/>
    </row>
    <row r="878" ht="15.75" customHeight="1">
      <c r="B878" s="65"/>
      <c r="C878" s="65"/>
      <c r="D878" s="65"/>
      <c r="E878" s="66"/>
      <c r="F878" s="65"/>
      <c r="G878" s="67"/>
    </row>
    <row r="879" ht="15.75" customHeight="1">
      <c r="B879" s="65"/>
      <c r="C879" s="65"/>
      <c r="D879" s="65"/>
      <c r="E879" s="66"/>
      <c r="F879" s="65"/>
      <c r="G879" s="67"/>
    </row>
    <row r="880" ht="15.75" customHeight="1">
      <c r="B880" s="65"/>
      <c r="C880" s="65"/>
      <c r="D880" s="65"/>
      <c r="E880" s="66"/>
      <c r="F880" s="65"/>
      <c r="G880" s="67"/>
    </row>
    <row r="881" ht="15.75" customHeight="1">
      <c r="B881" s="65"/>
      <c r="C881" s="65"/>
      <c r="D881" s="65"/>
      <c r="E881" s="66"/>
      <c r="F881" s="65"/>
      <c r="G881" s="67"/>
    </row>
    <row r="882" ht="15.75" customHeight="1">
      <c r="B882" s="65"/>
      <c r="C882" s="65"/>
      <c r="D882" s="65"/>
      <c r="E882" s="66"/>
      <c r="F882" s="65"/>
      <c r="G882" s="67"/>
    </row>
    <row r="883" ht="15.75" customHeight="1">
      <c r="B883" s="65"/>
      <c r="C883" s="65"/>
      <c r="D883" s="65"/>
      <c r="E883" s="66"/>
      <c r="F883" s="65"/>
      <c r="G883" s="67"/>
    </row>
    <row r="884" ht="15.75" customHeight="1">
      <c r="B884" s="65"/>
      <c r="C884" s="65"/>
      <c r="D884" s="65"/>
      <c r="E884" s="66"/>
      <c r="F884" s="65"/>
      <c r="G884" s="67"/>
    </row>
    <row r="885" ht="15.75" customHeight="1">
      <c r="B885" s="65"/>
      <c r="C885" s="65"/>
      <c r="D885" s="65"/>
      <c r="E885" s="66"/>
      <c r="F885" s="65"/>
      <c r="G885" s="67"/>
    </row>
    <row r="886" ht="15.75" customHeight="1">
      <c r="B886" s="65"/>
      <c r="C886" s="65"/>
      <c r="D886" s="65"/>
      <c r="E886" s="66"/>
      <c r="F886" s="65"/>
      <c r="G886" s="67"/>
    </row>
    <row r="887" ht="15.75" customHeight="1">
      <c r="B887" s="65"/>
      <c r="C887" s="65"/>
      <c r="D887" s="65"/>
      <c r="E887" s="66"/>
      <c r="F887" s="65"/>
      <c r="G887" s="67"/>
    </row>
    <row r="888" ht="15.75" customHeight="1">
      <c r="B888" s="65"/>
      <c r="C888" s="65"/>
      <c r="D888" s="65"/>
      <c r="E888" s="66"/>
      <c r="F888" s="65"/>
      <c r="G888" s="67"/>
    </row>
    <row r="889" ht="15.75" customHeight="1">
      <c r="B889" s="65"/>
      <c r="C889" s="65"/>
      <c r="D889" s="65"/>
      <c r="E889" s="66"/>
      <c r="F889" s="65"/>
      <c r="G889" s="67"/>
    </row>
    <row r="890" ht="15.75" customHeight="1">
      <c r="B890" s="65"/>
      <c r="C890" s="65"/>
      <c r="D890" s="65"/>
      <c r="E890" s="66"/>
      <c r="F890" s="65"/>
      <c r="G890" s="67"/>
    </row>
    <row r="891" ht="15.75" customHeight="1">
      <c r="B891" s="65"/>
      <c r="C891" s="65"/>
      <c r="D891" s="65"/>
      <c r="E891" s="66"/>
      <c r="F891" s="65"/>
      <c r="G891" s="67"/>
    </row>
    <row r="892" ht="15.75" customHeight="1">
      <c r="B892" s="65"/>
      <c r="C892" s="65"/>
      <c r="D892" s="65"/>
      <c r="E892" s="66"/>
      <c r="F892" s="65"/>
      <c r="G892" s="67"/>
    </row>
    <row r="893" ht="15.75" customHeight="1">
      <c r="B893" s="65"/>
      <c r="C893" s="65"/>
      <c r="D893" s="65"/>
      <c r="E893" s="66"/>
      <c r="F893" s="65"/>
      <c r="G893" s="67"/>
    </row>
    <row r="894" ht="15.75" customHeight="1">
      <c r="B894" s="65"/>
      <c r="C894" s="65"/>
      <c r="D894" s="65"/>
      <c r="E894" s="66"/>
      <c r="F894" s="65"/>
      <c r="G894" s="67"/>
    </row>
    <row r="895" ht="15.75" customHeight="1">
      <c r="B895" s="65"/>
      <c r="C895" s="65"/>
      <c r="D895" s="65"/>
      <c r="E895" s="66"/>
      <c r="F895" s="65"/>
      <c r="G895" s="67"/>
    </row>
    <row r="896" ht="15.75" customHeight="1">
      <c r="B896" s="65"/>
      <c r="C896" s="65"/>
      <c r="D896" s="65"/>
      <c r="E896" s="66"/>
      <c r="F896" s="65"/>
      <c r="G896" s="67"/>
    </row>
    <row r="897" ht="15.75" customHeight="1">
      <c r="B897" s="65"/>
      <c r="C897" s="65"/>
      <c r="D897" s="65"/>
      <c r="E897" s="66"/>
      <c r="F897" s="65"/>
      <c r="G897" s="67"/>
    </row>
    <row r="898" ht="15.75" customHeight="1">
      <c r="B898" s="65"/>
      <c r="C898" s="65"/>
      <c r="D898" s="65"/>
      <c r="E898" s="66"/>
      <c r="F898" s="65"/>
      <c r="G898" s="67"/>
    </row>
    <row r="899" ht="15.75" customHeight="1">
      <c r="B899" s="65"/>
      <c r="C899" s="65"/>
      <c r="D899" s="65"/>
      <c r="E899" s="66"/>
      <c r="F899" s="65"/>
      <c r="G899" s="67"/>
    </row>
    <row r="900" ht="15.75" customHeight="1">
      <c r="B900" s="65"/>
      <c r="C900" s="65"/>
      <c r="D900" s="65"/>
      <c r="E900" s="66"/>
      <c r="F900" s="65"/>
      <c r="G900" s="67"/>
    </row>
    <row r="901" ht="15.75" customHeight="1">
      <c r="B901" s="65"/>
      <c r="C901" s="65"/>
      <c r="D901" s="65"/>
      <c r="E901" s="66"/>
      <c r="F901" s="65"/>
      <c r="G901" s="67"/>
    </row>
    <row r="902" ht="15.75" customHeight="1">
      <c r="B902" s="65"/>
      <c r="C902" s="65"/>
      <c r="D902" s="65"/>
      <c r="E902" s="66"/>
      <c r="F902" s="65"/>
      <c r="G902" s="67"/>
    </row>
    <row r="903" ht="15.75" customHeight="1">
      <c r="B903" s="65"/>
      <c r="C903" s="65"/>
      <c r="D903" s="65"/>
      <c r="E903" s="66"/>
      <c r="F903" s="65"/>
      <c r="G903" s="67"/>
    </row>
    <row r="904" ht="15.75" customHeight="1">
      <c r="B904" s="65"/>
      <c r="C904" s="65"/>
      <c r="D904" s="65"/>
      <c r="E904" s="66"/>
      <c r="F904" s="65"/>
      <c r="G904" s="67"/>
    </row>
    <row r="905" ht="15.75" customHeight="1">
      <c r="B905" s="65"/>
      <c r="C905" s="65"/>
      <c r="D905" s="65"/>
      <c r="E905" s="66"/>
      <c r="F905" s="65"/>
      <c r="G905" s="67"/>
    </row>
    <row r="906" ht="15.75" customHeight="1">
      <c r="B906" s="65"/>
      <c r="C906" s="65"/>
      <c r="D906" s="65"/>
      <c r="E906" s="66"/>
      <c r="F906" s="65"/>
      <c r="G906" s="67"/>
    </row>
    <row r="907" ht="15.75" customHeight="1">
      <c r="B907" s="65"/>
      <c r="C907" s="65"/>
      <c r="D907" s="65"/>
      <c r="E907" s="66"/>
      <c r="F907" s="65"/>
      <c r="G907" s="67"/>
    </row>
    <row r="908" ht="15.75" customHeight="1">
      <c r="B908" s="65"/>
      <c r="C908" s="65"/>
      <c r="D908" s="65"/>
      <c r="E908" s="66"/>
      <c r="F908" s="65"/>
      <c r="G908" s="67"/>
    </row>
    <row r="909" ht="15.75" customHeight="1">
      <c r="B909" s="65"/>
      <c r="C909" s="65"/>
      <c r="D909" s="65"/>
      <c r="E909" s="66"/>
      <c r="F909" s="65"/>
      <c r="G909" s="67"/>
    </row>
    <row r="910" ht="15.75" customHeight="1">
      <c r="B910" s="65"/>
      <c r="C910" s="65"/>
      <c r="D910" s="65"/>
      <c r="E910" s="66"/>
      <c r="F910" s="65"/>
      <c r="G910" s="67"/>
    </row>
    <row r="911" ht="15.75" customHeight="1">
      <c r="B911" s="65"/>
      <c r="C911" s="65"/>
      <c r="D911" s="65"/>
      <c r="E911" s="66"/>
      <c r="F911" s="65"/>
      <c r="G911" s="67"/>
    </row>
    <row r="912" ht="15.75" customHeight="1">
      <c r="B912" s="65"/>
      <c r="C912" s="65"/>
      <c r="D912" s="65"/>
      <c r="E912" s="66"/>
      <c r="F912" s="65"/>
      <c r="G912" s="67"/>
    </row>
    <row r="913" ht="15.75" customHeight="1">
      <c r="B913" s="65"/>
      <c r="C913" s="65"/>
      <c r="D913" s="65"/>
      <c r="E913" s="66"/>
      <c r="F913" s="65"/>
      <c r="G913" s="67"/>
    </row>
    <row r="914" ht="15.75" customHeight="1">
      <c r="B914" s="65"/>
      <c r="C914" s="65"/>
      <c r="D914" s="65"/>
      <c r="E914" s="66"/>
      <c r="F914" s="65"/>
      <c r="G914" s="67"/>
    </row>
    <row r="915" ht="15.75" customHeight="1">
      <c r="B915" s="65"/>
      <c r="C915" s="65"/>
      <c r="D915" s="65"/>
      <c r="E915" s="66"/>
      <c r="F915" s="65"/>
      <c r="G915" s="67"/>
    </row>
    <row r="916" ht="15.75" customHeight="1">
      <c r="B916" s="65"/>
      <c r="C916" s="65"/>
      <c r="D916" s="65"/>
      <c r="E916" s="66"/>
      <c r="F916" s="65"/>
      <c r="G916" s="67"/>
    </row>
    <row r="917" ht="15.75" customHeight="1">
      <c r="B917" s="65"/>
      <c r="C917" s="65"/>
      <c r="D917" s="65"/>
      <c r="E917" s="66"/>
      <c r="F917" s="65"/>
      <c r="G917" s="67"/>
    </row>
    <row r="918" ht="15.75" customHeight="1">
      <c r="B918" s="65"/>
      <c r="C918" s="65"/>
      <c r="D918" s="65"/>
      <c r="E918" s="66"/>
      <c r="F918" s="65"/>
      <c r="G918" s="67"/>
    </row>
    <row r="919" ht="15.75" customHeight="1">
      <c r="B919" s="65"/>
      <c r="C919" s="65"/>
      <c r="D919" s="65"/>
      <c r="E919" s="66"/>
      <c r="F919" s="65"/>
      <c r="G919" s="67"/>
    </row>
    <row r="920" ht="15.75" customHeight="1">
      <c r="B920" s="65"/>
      <c r="C920" s="65"/>
      <c r="D920" s="65"/>
      <c r="E920" s="66"/>
      <c r="F920" s="65"/>
      <c r="G920" s="67"/>
    </row>
    <row r="921" ht="15.75" customHeight="1">
      <c r="B921" s="65"/>
      <c r="C921" s="65"/>
      <c r="D921" s="65"/>
      <c r="E921" s="66"/>
      <c r="F921" s="65"/>
      <c r="G921" s="67"/>
    </row>
    <row r="922" ht="15.75" customHeight="1">
      <c r="B922" s="65"/>
      <c r="C922" s="65"/>
      <c r="D922" s="65"/>
      <c r="E922" s="66"/>
      <c r="F922" s="65"/>
      <c r="G922" s="67"/>
    </row>
    <row r="923" ht="15.75" customHeight="1">
      <c r="B923" s="65"/>
      <c r="C923" s="65"/>
      <c r="D923" s="65"/>
      <c r="E923" s="66"/>
      <c r="F923" s="65"/>
      <c r="G923" s="67"/>
    </row>
    <row r="924" ht="15.75" customHeight="1">
      <c r="B924" s="65"/>
      <c r="C924" s="65"/>
      <c r="D924" s="65"/>
      <c r="E924" s="66"/>
      <c r="F924" s="65"/>
      <c r="G924" s="67"/>
    </row>
    <row r="925" ht="15.75" customHeight="1">
      <c r="B925" s="65"/>
      <c r="C925" s="65"/>
      <c r="D925" s="65"/>
      <c r="E925" s="66"/>
      <c r="F925" s="65"/>
      <c r="G925" s="67"/>
    </row>
    <row r="926" ht="15.75" customHeight="1">
      <c r="B926" s="65"/>
      <c r="C926" s="65"/>
      <c r="D926" s="65"/>
      <c r="E926" s="66"/>
      <c r="F926" s="65"/>
      <c r="G926" s="67"/>
    </row>
    <row r="927" ht="15.75" customHeight="1">
      <c r="B927" s="65"/>
      <c r="C927" s="65"/>
      <c r="D927" s="65"/>
      <c r="E927" s="66"/>
      <c r="F927" s="65"/>
      <c r="G927" s="67"/>
    </row>
    <row r="928" ht="15.75" customHeight="1">
      <c r="B928" s="65"/>
      <c r="C928" s="65"/>
      <c r="D928" s="65"/>
      <c r="E928" s="66"/>
      <c r="F928" s="65"/>
      <c r="G928" s="67"/>
    </row>
    <row r="929" ht="15.75" customHeight="1">
      <c r="B929" s="65"/>
      <c r="C929" s="65"/>
      <c r="D929" s="65"/>
      <c r="E929" s="66"/>
      <c r="F929" s="65"/>
      <c r="G929" s="67"/>
    </row>
    <row r="930" ht="15.75" customHeight="1">
      <c r="B930" s="65"/>
      <c r="C930" s="65"/>
      <c r="D930" s="65"/>
      <c r="E930" s="66"/>
      <c r="F930" s="65"/>
      <c r="G930" s="67"/>
    </row>
    <row r="931" ht="15.75" customHeight="1">
      <c r="B931" s="65"/>
      <c r="C931" s="65"/>
      <c r="D931" s="65"/>
      <c r="E931" s="66"/>
      <c r="F931" s="65"/>
      <c r="G931" s="67"/>
    </row>
    <row r="932" ht="15.75" customHeight="1">
      <c r="B932" s="65"/>
      <c r="C932" s="65"/>
      <c r="D932" s="65"/>
      <c r="E932" s="66"/>
      <c r="F932" s="65"/>
      <c r="G932" s="67"/>
    </row>
    <row r="933" ht="15.75" customHeight="1">
      <c r="B933" s="65"/>
      <c r="C933" s="65"/>
      <c r="D933" s="65"/>
      <c r="E933" s="66"/>
      <c r="F933" s="65"/>
      <c r="G933" s="67"/>
    </row>
    <row r="934" ht="15.75" customHeight="1">
      <c r="B934" s="65"/>
      <c r="C934" s="65"/>
      <c r="D934" s="65"/>
      <c r="E934" s="66"/>
      <c r="F934" s="65"/>
      <c r="G934" s="67"/>
    </row>
    <row r="935" ht="15.75" customHeight="1">
      <c r="B935" s="65"/>
      <c r="C935" s="65"/>
      <c r="D935" s="65"/>
      <c r="E935" s="66"/>
      <c r="F935" s="65"/>
      <c r="G935" s="67"/>
    </row>
    <row r="936" ht="15.75" customHeight="1">
      <c r="B936" s="65"/>
      <c r="C936" s="65"/>
      <c r="D936" s="65"/>
      <c r="E936" s="66"/>
      <c r="F936" s="65"/>
      <c r="G936" s="67"/>
    </row>
    <row r="937" ht="15.75" customHeight="1">
      <c r="B937" s="65"/>
      <c r="C937" s="65"/>
      <c r="D937" s="65"/>
      <c r="E937" s="66"/>
      <c r="F937" s="65"/>
      <c r="G937" s="67"/>
    </row>
    <row r="938" ht="15.75" customHeight="1">
      <c r="B938" s="65"/>
      <c r="C938" s="65"/>
      <c r="D938" s="65"/>
      <c r="E938" s="66"/>
      <c r="F938" s="65"/>
      <c r="G938" s="67"/>
    </row>
    <row r="939" ht="15.75" customHeight="1">
      <c r="B939" s="65"/>
      <c r="C939" s="65"/>
      <c r="D939" s="65"/>
      <c r="E939" s="66"/>
      <c r="F939" s="65"/>
      <c r="G939" s="67"/>
    </row>
    <row r="940" ht="15.75" customHeight="1">
      <c r="B940" s="65"/>
      <c r="C940" s="65"/>
      <c r="D940" s="65"/>
      <c r="E940" s="66"/>
      <c r="F940" s="65"/>
      <c r="G940" s="67"/>
    </row>
    <row r="941" ht="15.75" customHeight="1">
      <c r="B941" s="65"/>
      <c r="C941" s="65"/>
      <c r="D941" s="65"/>
      <c r="E941" s="66"/>
      <c r="F941" s="65"/>
      <c r="G941" s="67"/>
    </row>
    <row r="942" ht="15.75" customHeight="1">
      <c r="B942" s="65"/>
      <c r="C942" s="65"/>
      <c r="D942" s="65"/>
      <c r="E942" s="66"/>
      <c r="F942" s="65"/>
      <c r="G942" s="67"/>
    </row>
    <row r="943" ht="15.75" customHeight="1">
      <c r="B943" s="65"/>
      <c r="C943" s="65"/>
      <c r="D943" s="65"/>
      <c r="E943" s="66"/>
      <c r="F943" s="65"/>
      <c r="G943" s="67"/>
    </row>
    <row r="944" ht="15.75" customHeight="1">
      <c r="B944" s="65"/>
      <c r="C944" s="65"/>
      <c r="D944" s="65"/>
      <c r="E944" s="66"/>
      <c r="F944" s="65"/>
      <c r="G944" s="67"/>
    </row>
    <row r="945" ht="15.75" customHeight="1">
      <c r="B945" s="65"/>
      <c r="C945" s="65"/>
      <c r="D945" s="65"/>
      <c r="E945" s="66"/>
      <c r="F945" s="65"/>
      <c r="G945" s="67"/>
    </row>
    <row r="946" ht="15.75" customHeight="1">
      <c r="B946" s="65"/>
      <c r="C946" s="65"/>
      <c r="D946" s="65"/>
      <c r="E946" s="66"/>
      <c r="F946" s="65"/>
      <c r="G946" s="67"/>
    </row>
    <row r="947" ht="15.75" customHeight="1">
      <c r="B947" s="65"/>
      <c r="C947" s="65"/>
      <c r="D947" s="65"/>
      <c r="E947" s="66"/>
      <c r="F947" s="65"/>
      <c r="G947" s="67"/>
    </row>
    <row r="948" ht="15.75" customHeight="1">
      <c r="B948" s="65"/>
      <c r="C948" s="65"/>
      <c r="D948" s="65"/>
      <c r="E948" s="66"/>
      <c r="F948" s="65"/>
      <c r="G948" s="67"/>
    </row>
    <row r="949" ht="15.75" customHeight="1">
      <c r="B949" s="65"/>
      <c r="C949" s="65"/>
      <c r="D949" s="65"/>
      <c r="E949" s="66"/>
      <c r="F949" s="65"/>
      <c r="G949" s="67"/>
    </row>
    <row r="950" ht="15.75" customHeight="1">
      <c r="B950" s="65"/>
      <c r="C950" s="65"/>
      <c r="D950" s="65"/>
      <c r="E950" s="66"/>
      <c r="F950" s="65"/>
      <c r="G950" s="67"/>
    </row>
    <row r="951" ht="15.75" customHeight="1">
      <c r="B951" s="65"/>
      <c r="C951" s="65"/>
      <c r="D951" s="65"/>
      <c r="E951" s="66"/>
      <c r="F951" s="65"/>
      <c r="G951" s="67"/>
    </row>
    <row r="952" ht="15.75" customHeight="1">
      <c r="B952" s="65"/>
      <c r="C952" s="65"/>
      <c r="D952" s="65"/>
      <c r="E952" s="66"/>
      <c r="F952" s="65"/>
      <c r="G952" s="67"/>
    </row>
    <row r="953" ht="15.75" customHeight="1">
      <c r="B953" s="65"/>
      <c r="C953" s="65"/>
      <c r="D953" s="65"/>
      <c r="E953" s="66"/>
      <c r="F953" s="65"/>
      <c r="G953" s="67"/>
    </row>
    <row r="954" ht="15.75" customHeight="1">
      <c r="B954" s="65"/>
      <c r="C954" s="65"/>
      <c r="D954" s="65"/>
      <c r="E954" s="66"/>
      <c r="F954" s="65"/>
      <c r="G954" s="67"/>
    </row>
    <row r="955" ht="15.75" customHeight="1">
      <c r="B955" s="65"/>
      <c r="C955" s="65"/>
      <c r="D955" s="65"/>
      <c r="E955" s="66"/>
      <c r="F955" s="65"/>
      <c r="G955" s="67"/>
    </row>
    <row r="956" ht="15.75" customHeight="1">
      <c r="B956" s="65"/>
      <c r="C956" s="65"/>
      <c r="D956" s="65"/>
      <c r="E956" s="66"/>
      <c r="F956" s="65"/>
      <c r="G956" s="67"/>
    </row>
    <row r="957" ht="15.75" customHeight="1">
      <c r="B957" s="65"/>
      <c r="C957" s="65"/>
      <c r="D957" s="65"/>
      <c r="E957" s="66"/>
      <c r="F957" s="65"/>
      <c r="G957" s="67"/>
    </row>
    <row r="958" ht="15.75" customHeight="1">
      <c r="B958" s="65"/>
      <c r="C958" s="65"/>
      <c r="D958" s="65"/>
      <c r="E958" s="66"/>
      <c r="F958" s="65"/>
      <c r="G958" s="67"/>
    </row>
    <row r="959" ht="15.75" customHeight="1">
      <c r="B959" s="65"/>
      <c r="C959" s="65"/>
      <c r="D959" s="65"/>
      <c r="E959" s="66"/>
      <c r="F959" s="65"/>
      <c r="G959" s="67"/>
    </row>
    <row r="960" ht="15.75" customHeight="1">
      <c r="B960" s="65"/>
      <c r="C960" s="65"/>
      <c r="D960" s="65"/>
      <c r="E960" s="66"/>
      <c r="F960" s="65"/>
      <c r="G960" s="67"/>
    </row>
    <row r="961" ht="15.75" customHeight="1">
      <c r="B961" s="65"/>
      <c r="C961" s="65"/>
      <c r="D961" s="65"/>
      <c r="E961" s="66"/>
      <c r="F961" s="65"/>
      <c r="G961" s="67"/>
    </row>
    <row r="962" ht="15.75" customHeight="1">
      <c r="B962" s="65"/>
      <c r="C962" s="65"/>
      <c r="D962" s="65"/>
      <c r="E962" s="66"/>
      <c r="F962" s="65"/>
      <c r="G962" s="67"/>
    </row>
    <row r="963" ht="15.75" customHeight="1">
      <c r="B963" s="65"/>
      <c r="C963" s="65"/>
      <c r="D963" s="65"/>
      <c r="E963" s="66"/>
      <c r="F963" s="65"/>
      <c r="G963" s="67"/>
    </row>
    <row r="964" ht="15.75" customHeight="1">
      <c r="B964" s="65"/>
      <c r="C964" s="65"/>
      <c r="D964" s="65"/>
      <c r="E964" s="66"/>
      <c r="F964" s="65"/>
      <c r="G964" s="67"/>
    </row>
    <row r="965" ht="15.75" customHeight="1">
      <c r="B965" s="65"/>
      <c r="C965" s="65"/>
      <c r="D965" s="65"/>
      <c r="E965" s="66"/>
      <c r="F965" s="65"/>
      <c r="G965" s="67"/>
    </row>
    <row r="966" ht="15.75" customHeight="1">
      <c r="B966" s="65"/>
      <c r="C966" s="65"/>
      <c r="D966" s="65"/>
      <c r="E966" s="66"/>
      <c r="F966" s="65"/>
      <c r="G966" s="67"/>
    </row>
    <row r="967" ht="15.75" customHeight="1">
      <c r="B967" s="65"/>
      <c r="C967" s="65"/>
      <c r="D967" s="65"/>
      <c r="E967" s="66"/>
      <c r="F967" s="65"/>
      <c r="G967" s="67"/>
    </row>
    <row r="968" ht="15.75" customHeight="1">
      <c r="B968" s="65"/>
      <c r="C968" s="65"/>
      <c r="D968" s="65"/>
      <c r="E968" s="66"/>
      <c r="F968" s="65"/>
      <c r="G968" s="67"/>
    </row>
    <row r="969" ht="15.75" customHeight="1">
      <c r="B969" s="65"/>
      <c r="C969" s="65"/>
      <c r="D969" s="65"/>
      <c r="E969" s="66"/>
      <c r="F969" s="65"/>
      <c r="G969" s="67"/>
    </row>
    <row r="970" ht="15.75" customHeight="1">
      <c r="B970" s="65"/>
      <c r="C970" s="65"/>
      <c r="D970" s="65"/>
      <c r="E970" s="66"/>
      <c r="F970" s="65"/>
      <c r="G970" s="67"/>
    </row>
    <row r="971" ht="15.75" customHeight="1">
      <c r="B971" s="65"/>
      <c r="C971" s="65"/>
      <c r="D971" s="65"/>
      <c r="E971" s="66"/>
      <c r="F971" s="65"/>
      <c r="G971" s="67"/>
    </row>
    <row r="972" ht="15.75" customHeight="1">
      <c r="B972" s="65"/>
      <c r="C972" s="65"/>
      <c r="D972" s="65"/>
      <c r="E972" s="66"/>
      <c r="F972" s="65"/>
      <c r="G972" s="67"/>
    </row>
    <row r="973" ht="15.75" customHeight="1">
      <c r="B973" s="65"/>
      <c r="C973" s="65"/>
      <c r="D973" s="65"/>
      <c r="E973" s="66"/>
      <c r="F973" s="65"/>
      <c r="G973" s="67"/>
    </row>
    <row r="974" ht="15.75" customHeight="1">
      <c r="B974" s="65"/>
      <c r="C974" s="65"/>
      <c r="D974" s="65"/>
      <c r="E974" s="66"/>
      <c r="F974" s="65"/>
      <c r="G974" s="67"/>
    </row>
    <row r="975" ht="15.75" customHeight="1">
      <c r="B975" s="65"/>
      <c r="C975" s="65"/>
      <c r="D975" s="65"/>
      <c r="E975" s="66"/>
      <c r="F975" s="65"/>
      <c r="G975" s="67"/>
    </row>
    <row r="976" ht="15.75" customHeight="1">
      <c r="B976" s="65"/>
      <c r="C976" s="65"/>
      <c r="D976" s="65"/>
      <c r="E976" s="66"/>
      <c r="F976" s="65"/>
      <c r="G976" s="67"/>
    </row>
    <row r="977" ht="15.75" customHeight="1">
      <c r="B977" s="65"/>
      <c r="C977" s="65"/>
      <c r="D977" s="65"/>
      <c r="E977" s="66"/>
      <c r="F977" s="65"/>
      <c r="G977" s="67"/>
    </row>
    <row r="978" ht="15.75" customHeight="1">
      <c r="B978" s="65"/>
      <c r="C978" s="65"/>
      <c r="D978" s="65"/>
      <c r="E978" s="66"/>
      <c r="F978" s="65"/>
      <c r="G978" s="67"/>
    </row>
    <row r="979" ht="15.75" customHeight="1">
      <c r="B979" s="65"/>
      <c r="C979" s="65"/>
      <c r="D979" s="65"/>
      <c r="E979" s="66"/>
      <c r="F979" s="65"/>
      <c r="G979" s="67"/>
    </row>
    <row r="980" ht="15.75" customHeight="1">
      <c r="B980" s="65"/>
      <c r="C980" s="65"/>
      <c r="D980" s="65"/>
      <c r="E980" s="66"/>
      <c r="F980" s="65"/>
      <c r="G980" s="67"/>
    </row>
    <row r="981" ht="15.75" customHeight="1">
      <c r="B981" s="65"/>
      <c r="C981" s="65"/>
      <c r="D981" s="65"/>
      <c r="E981" s="66"/>
      <c r="F981" s="65"/>
      <c r="G981" s="67"/>
    </row>
    <row r="982" ht="15.75" customHeight="1">
      <c r="B982" s="65"/>
      <c r="C982" s="65"/>
      <c r="D982" s="65"/>
      <c r="E982" s="66"/>
      <c r="F982" s="65"/>
      <c r="G982" s="67"/>
    </row>
    <row r="983" ht="15.75" customHeight="1">
      <c r="B983" s="65"/>
      <c r="C983" s="65"/>
      <c r="D983" s="65"/>
      <c r="E983" s="66"/>
      <c r="F983" s="65"/>
      <c r="G983" s="67"/>
    </row>
    <row r="984" ht="15.75" customHeight="1">
      <c r="B984" s="65"/>
      <c r="C984" s="65"/>
      <c r="D984" s="65"/>
      <c r="E984" s="66"/>
      <c r="F984" s="65"/>
      <c r="G984" s="67"/>
    </row>
    <row r="985" ht="15.75" customHeight="1">
      <c r="B985" s="65"/>
      <c r="C985" s="65"/>
      <c r="D985" s="65"/>
      <c r="E985" s="66"/>
      <c r="F985" s="65"/>
      <c r="G985" s="67"/>
    </row>
    <row r="986" ht="15.75" customHeight="1">
      <c r="B986" s="65"/>
      <c r="C986" s="65"/>
      <c r="D986" s="65"/>
      <c r="E986" s="66"/>
      <c r="F986" s="65"/>
      <c r="G986" s="67"/>
    </row>
    <row r="987" ht="15.75" customHeight="1">
      <c r="B987" s="65"/>
      <c r="C987" s="65"/>
      <c r="D987" s="65"/>
      <c r="E987" s="66"/>
      <c r="F987" s="65"/>
      <c r="G987" s="67"/>
    </row>
    <row r="988" ht="15.75" customHeight="1">
      <c r="B988" s="65"/>
      <c r="C988" s="65"/>
      <c r="D988" s="65"/>
      <c r="E988" s="66"/>
      <c r="F988" s="65"/>
      <c r="G988" s="67"/>
    </row>
    <row r="989" ht="15.75" customHeight="1">
      <c r="B989" s="65"/>
      <c r="C989" s="65"/>
      <c r="D989" s="65"/>
      <c r="E989" s="66"/>
      <c r="F989" s="65"/>
      <c r="G989" s="67"/>
    </row>
    <row r="990" ht="15.75" customHeight="1">
      <c r="B990" s="65"/>
      <c r="C990" s="65"/>
      <c r="D990" s="65"/>
      <c r="E990" s="66"/>
      <c r="F990" s="65"/>
      <c r="G990" s="67"/>
    </row>
  </sheetData>
  <autoFilter ref="$C$1:$C$99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43"/>
    <col customWidth="1" min="2" max="2" width="23.29"/>
    <col customWidth="1" min="3" max="3" width="14.86"/>
    <col customWidth="1" min="4" max="4" width="26.43"/>
    <col customWidth="1" min="5" max="5" width="72.29"/>
    <col customWidth="1" min="6" max="6" width="15.14"/>
    <col customWidth="1" min="7" max="7" width="86.14"/>
    <col customWidth="1" min="8" max="8" width="25.43"/>
    <col customWidth="1" min="9" max="26" width="11.0"/>
  </cols>
  <sheetData>
    <row r="1">
      <c r="A1" s="20" t="s">
        <v>140</v>
      </c>
      <c r="B1" s="68" t="s">
        <v>141</v>
      </c>
      <c r="C1" s="68" t="s">
        <v>142</v>
      </c>
      <c r="D1" s="68" t="s">
        <v>143</v>
      </c>
      <c r="E1" s="69" t="s">
        <v>144</v>
      </c>
      <c r="F1" s="70" t="s">
        <v>145</v>
      </c>
      <c r="G1" s="71" t="s">
        <v>146</v>
      </c>
      <c r="H1" s="20" t="s">
        <v>147</v>
      </c>
    </row>
    <row r="2" ht="30.0" customHeight="1">
      <c r="A2" s="40" t="s">
        <v>2345</v>
      </c>
      <c r="B2" s="90">
        <v>5.521996434322E12</v>
      </c>
      <c r="C2" s="90" t="s">
        <v>149</v>
      </c>
      <c r="D2" s="90" t="s">
        <v>624</v>
      </c>
      <c r="E2" s="37" t="s">
        <v>2346</v>
      </c>
      <c r="F2" s="90" t="s">
        <v>151</v>
      </c>
      <c r="G2" s="111" t="s">
        <v>2347</v>
      </c>
      <c r="H2" s="26" t="s">
        <v>970</v>
      </c>
    </row>
    <row r="3" ht="30.0" customHeight="1">
      <c r="A3" s="28" t="s">
        <v>2348</v>
      </c>
      <c r="B3" s="31">
        <v>5.511978286684E12</v>
      </c>
      <c r="C3" s="31" t="s">
        <v>155</v>
      </c>
      <c r="D3" s="31" t="s">
        <v>156</v>
      </c>
      <c r="E3" s="32" t="s">
        <v>2349</v>
      </c>
      <c r="F3" s="31" t="s">
        <v>151</v>
      </c>
      <c r="G3" s="33" t="s">
        <v>2350</v>
      </c>
      <c r="H3" s="29"/>
    </row>
    <row r="4" ht="30.0" customHeight="1">
      <c r="A4" s="73" t="s">
        <v>2351</v>
      </c>
      <c r="B4" s="26" t="s">
        <v>2352</v>
      </c>
      <c r="C4" s="26" t="s">
        <v>166</v>
      </c>
      <c r="D4" s="26" t="s">
        <v>2353</v>
      </c>
      <c r="E4" s="27" t="s">
        <v>2354</v>
      </c>
      <c r="F4" s="26" t="s">
        <v>151</v>
      </c>
      <c r="G4" s="25" t="s">
        <v>2355</v>
      </c>
      <c r="H4" s="29"/>
    </row>
    <row r="5" ht="30.0" customHeight="1">
      <c r="A5" s="51" t="s">
        <v>2356</v>
      </c>
      <c r="B5" s="26">
        <v>5.53288044559E11</v>
      </c>
      <c r="C5" s="26" t="s">
        <v>166</v>
      </c>
      <c r="D5" s="26" t="s">
        <v>706</v>
      </c>
      <c r="E5" s="27" t="s">
        <v>2357</v>
      </c>
      <c r="F5" s="26"/>
      <c r="G5" s="25" t="s">
        <v>2358</v>
      </c>
      <c r="H5" s="26" t="s">
        <v>2359</v>
      </c>
    </row>
    <row r="6" ht="30.0" customHeight="1">
      <c r="A6" s="28" t="s">
        <v>2360</v>
      </c>
      <c r="B6" s="26">
        <v>5.579988494784E12</v>
      </c>
      <c r="C6" s="26" t="s">
        <v>242</v>
      </c>
      <c r="D6" s="26" t="s">
        <v>243</v>
      </c>
      <c r="E6" s="27" t="s">
        <v>2361</v>
      </c>
      <c r="F6" s="26"/>
      <c r="G6" s="25" t="s">
        <v>2362</v>
      </c>
      <c r="H6" s="26" t="s">
        <v>2359</v>
      </c>
    </row>
    <row r="7" ht="30.0" customHeight="1">
      <c r="A7" s="28" t="s">
        <v>2363</v>
      </c>
      <c r="B7" s="26">
        <v>5.511991603041E12</v>
      </c>
      <c r="C7" s="26" t="s">
        <v>155</v>
      </c>
      <c r="D7" s="26" t="s">
        <v>156</v>
      </c>
      <c r="E7" s="27" t="s">
        <v>2364</v>
      </c>
      <c r="F7" s="26" t="s">
        <v>151</v>
      </c>
      <c r="G7" s="25" t="s">
        <v>2365</v>
      </c>
      <c r="H7" s="48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30.0" customHeight="1">
      <c r="A8" s="28" t="s">
        <v>2366</v>
      </c>
      <c r="B8" s="26">
        <v>5.511978286684E12</v>
      </c>
      <c r="C8" s="26" t="s">
        <v>155</v>
      </c>
      <c r="D8" s="26" t="s">
        <v>156</v>
      </c>
      <c r="E8" s="27" t="s">
        <v>2367</v>
      </c>
      <c r="F8" s="26" t="s">
        <v>151</v>
      </c>
      <c r="G8" s="25" t="s">
        <v>2350</v>
      </c>
      <c r="H8" s="26" t="s">
        <v>2359</v>
      </c>
    </row>
    <row r="9" ht="30.0" customHeight="1">
      <c r="A9" s="28" t="s">
        <v>2368</v>
      </c>
      <c r="B9" s="26">
        <v>5.511992374463E12</v>
      </c>
      <c r="C9" s="26" t="s">
        <v>155</v>
      </c>
      <c r="D9" s="26" t="s">
        <v>156</v>
      </c>
      <c r="E9" s="27" t="s">
        <v>2369</v>
      </c>
      <c r="F9" s="26" t="s">
        <v>151</v>
      </c>
      <c r="G9" s="25" t="s">
        <v>2370</v>
      </c>
      <c r="H9" s="29"/>
    </row>
    <row r="10" ht="30.0" customHeight="1">
      <c r="A10" s="28" t="s">
        <v>2371</v>
      </c>
      <c r="B10" s="26">
        <v>5.531991260368E12</v>
      </c>
      <c r="C10" s="26" t="s">
        <v>166</v>
      </c>
      <c r="D10" s="26" t="s">
        <v>353</v>
      </c>
      <c r="E10" s="27" t="s">
        <v>2372</v>
      </c>
      <c r="F10" s="26"/>
      <c r="G10" s="25" t="s">
        <v>2373</v>
      </c>
      <c r="H10" s="26" t="s">
        <v>2359</v>
      </c>
    </row>
    <row r="11" ht="30.0" customHeight="1">
      <c r="A11" s="28" t="s">
        <v>2374</v>
      </c>
      <c r="B11" s="26">
        <v>5.585966021E11</v>
      </c>
      <c r="C11" s="26" t="s">
        <v>205</v>
      </c>
      <c r="D11" s="26" t="s">
        <v>2375</v>
      </c>
      <c r="E11" s="27" t="s">
        <v>2376</v>
      </c>
      <c r="F11" s="26"/>
      <c r="G11" s="25" t="s">
        <v>2377</v>
      </c>
      <c r="H11" s="26" t="s">
        <v>2359</v>
      </c>
    </row>
    <row r="12" ht="30.0" customHeight="1">
      <c r="A12" s="28" t="s">
        <v>2378</v>
      </c>
      <c r="B12" s="26">
        <v>5.585991354444E12</v>
      </c>
      <c r="C12" s="26" t="s">
        <v>205</v>
      </c>
      <c r="D12" s="26" t="s">
        <v>2375</v>
      </c>
      <c r="E12" s="27" t="s">
        <v>2379</v>
      </c>
      <c r="F12" s="26"/>
      <c r="G12" s="28" t="s">
        <v>2380</v>
      </c>
      <c r="H12" s="26" t="s">
        <v>2359</v>
      </c>
    </row>
    <row r="13" ht="30.0" customHeight="1">
      <c r="A13" s="28" t="s">
        <v>2381</v>
      </c>
      <c r="B13" s="26">
        <v>5.521996952499E12</v>
      </c>
      <c r="C13" s="26" t="s">
        <v>149</v>
      </c>
      <c r="D13" s="26" t="s">
        <v>2382</v>
      </c>
      <c r="E13" s="27" t="s">
        <v>2383</v>
      </c>
      <c r="F13" s="26"/>
      <c r="G13" s="25" t="s">
        <v>2384</v>
      </c>
      <c r="H13" s="29"/>
    </row>
    <row r="14" ht="30.0" customHeight="1">
      <c r="A14" s="28" t="s">
        <v>2385</v>
      </c>
      <c r="B14" s="26">
        <v>5.531996054801E12</v>
      </c>
      <c r="C14" s="26" t="s">
        <v>166</v>
      </c>
      <c r="D14" s="26" t="s">
        <v>353</v>
      </c>
      <c r="E14" s="27" t="s">
        <v>2386</v>
      </c>
      <c r="F14" s="26"/>
      <c r="G14" s="25" t="s">
        <v>2387</v>
      </c>
      <c r="H14" s="26" t="s">
        <v>2359</v>
      </c>
    </row>
    <row r="15" ht="30.0" customHeight="1">
      <c r="A15" s="28" t="s">
        <v>2388</v>
      </c>
      <c r="B15" s="26">
        <v>5.582999909484E12</v>
      </c>
      <c r="C15" s="26" t="s">
        <v>2389</v>
      </c>
      <c r="D15" s="26" t="s">
        <v>2192</v>
      </c>
      <c r="E15" s="27" t="s">
        <v>2390</v>
      </c>
      <c r="F15" s="26" t="s">
        <v>2287</v>
      </c>
      <c r="G15" s="25" t="s">
        <v>2391</v>
      </c>
      <c r="H15" s="29"/>
    </row>
    <row r="16" ht="30.0" customHeight="1">
      <c r="A16" s="25" t="s">
        <v>2392</v>
      </c>
      <c r="B16" s="26">
        <v>5.541999070145E12</v>
      </c>
      <c r="C16" s="26" t="s">
        <v>194</v>
      </c>
      <c r="D16" s="26" t="s">
        <v>195</v>
      </c>
      <c r="E16" s="27" t="s">
        <v>2393</v>
      </c>
      <c r="F16" s="26" t="s">
        <v>151</v>
      </c>
      <c r="G16" s="25" t="s">
        <v>2394</v>
      </c>
      <c r="H16" s="29"/>
    </row>
    <row r="17">
      <c r="A17" s="25" t="s">
        <v>2395</v>
      </c>
      <c r="B17" s="26" t="s">
        <v>2396</v>
      </c>
      <c r="C17" s="26" t="s">
        <v>2397</v>
      </c>
      <c r="D17" s="26" t="s">
        <v>2279</v>
      </c>
      <c r="E17" s="27" t="s">
        <v>2398</v>
      </c>
      <c r="F17" s="26"/>
      <c r="G17" s="25" t="s">
        <v>2399</v>
      </c>
      <c r="H17" s="26" t="s">
        <v>2359</v>
      </c>
    </row>
    <row r="18" ht="30.0" customHeight="1">
      <c r="A18" s="25" t="s">
        <v>2400</v>
      </c>
      <c r="B18" s="112">
        <v>5.548991469131E12</v>
      </c>
      <c r="C18" s="26" t="s">
        <v>160</v>
      </c>
      <c r="D18" s="26" t="s">
        <v>2401</v>
      </c>
      <c r="E18" s="27" t="s">
        <v>2402</v>
      </c>
      <c r="F18" s="26"/>
      <c r="G18" s="25" t="s">
        <v>2403</v>
      </c>
      <c r="H18" s="26" t="s">
        <v>2359</v>
      </c>
    </row>
    <row r="19" ht="30.0" customHeight="1">
      <c r="A19" s="25" t="s">
        <v>2404</v>
      </c>
      <c r="B19" s="26">
        <v>5.54599212251E11</v>
      </c>
      <c r="C19" s="26" t="s">
        <v>194</v>
      </c>
      <c r="D19" s="26" t="s">
        <v>430</v>
      </c>
      <c r="E19" s="27" t="s">
        <v>2405</v>
      </c>
      <c r="F19" s="26"/>
      <c r="G19" s="25" t="s">
        <v>2406</v>
      </c>
      <c r="H19" s="26" t="s">
        <v>2359</v>
      </c>
    </row>
    <row r="20" ht="30.0" customHeight="1">
      <c r="A20" s="25" t="s">
        <v>2407</v>
      </c>
      <c r="B20" s="26">
        <v>5.54792486065E11</v>
      </c>
      <c r="C20" s="26" t="s">
        <v>160</v>
      </c>
      <c r="D20" s="26" t="s">
        <v>811</v>
      </c>
      <c r="E20" s="27" t="s">
        <v>2408</v>
      </c>
      <c r="F20" s="26"/>
      <c r="G20" s="25" t="s">
        <v>2409</v>
      </c>
      <c r="H20" s="26" t="s">
        <v>2359</v>
      </c>
    </row>
    <row r="21" ht="30.0" customHeight="1">
      <c r="A21" s="25" t="s">
        <v>2410</v>
      </c>
      <c r="B21" s="26">
        <v>5.55197262944E11</v>
      </c>
      <c r="C21" s="26" t="s">
        <v>361</v>
      </c>
      <c r="D21" s="26" t="s">
        <v>362</v>
      </c>
      <c r="E21" s="27" t="s">
        <v>2411</v>
      </c>
      <c r="F21" s="26" t="s">
        <v>151</v>
      </c>
      <c r="G21" s="25" t="s">
        <v>2412</v>
      </c>
      <c r="H21" s="26"/>
    </row>
    <row r="22" ht="30.0" customHeight="1">
      <c r="A22" s="74" t="s">
        <v>2413</v>
      </c>
      <c r="B22" s="31">
        <v>5.55134706324E11</v>
      </c>
      <c r="C22" s="31" t="s">
        <v>361</v>
      </c>
      <c r="D22" s="31" t="s">
        <v>2414</v>
      </c>
      <c r="E22" s="32" t="s">
        <v>2415</v>
      </c>
      <c r="F22" s="31"/>
      <c r="G22" s="28" t="s">
        <v>2416</v>
      </c>
      <c r="H22" s="29"/>
    </row>
    <row r="23" ht="30.0" customHeight="1">
      <c r="A23" s="25" t="s">
        <v>2417</v>
      </c>
      <c r="B23" s="31">
        <v>5.53233219566E11</v>
      </c>
      <c r="C23" s="31" t="s">
        <v>166</v>
      </c>
      <c r="D23" s="31" t="s">
        <v>706</v>
      </c>
      <c r="E23" s="32" t="s">
        <v>2418</v>
      </c>
      <c r="F23" s="31" t="s">
        <v>151</v>
      </c>
      <c r="G23" s="33" t="s">
        <v>2419</v>
      </c>
      <c r="H23" s="26"/>
    </row>
    <row r="24" ht="30.0" customHeight="1">
      <c r="A24" s="78" t="s">
        <v>2420</v>
      </c>
      <c r="B24" s="31">
        <v>5.51145495858E11</v>
      </c>
      <c r="C24" s="31" t="s">
        <v>155</v>
      </c>
      <c r="D24" s="31" t="s">
        <v>2421</v>
      </c>
      <c r="E24" s="32" t="s">
        <v>2422</v>
      </c>
      <c r="F24" s="31" t="s">
        <v>151</v>
      </c>
      <c r="G24" s="33" t="s">
        <v>2423</v>
      </c>
      <c r="H24" s="29"/>
    </row>
    <row r="25" ht="30.0" customHeight="1">
      <c r="A25" s="25" t="s">
        <v>2424</v>
      </c>
      <c r="B25" s="31">
        <v>5.511992374463E12</v>
      </c>
      <c r="C25" s="31" t="s">
        <v>155</v>
      </c>
      <c r="D25" s="31" t="s">
        <v>156</v>
      </c>
      <c r="E25" s="32" t="s">
        <v>2425</v>
      </c>
      <c r="F25" s="31" t="s">
        <v>151</v>
      </c>
      <c r="G25" s="33" t="s">
        <v>2426</v>
      </c>
      <c r="H25" s="29"/>
    </row>
    <row r="26" ht="30.0" customHeight="1">
      <c r="A26" s="25" t="s">
        <v>2427</v>
      </c>
      <c r="B26" s="26">
        <v>5.52133257704E11</v>
      </c>
      <c r="C26" s="31" t="s">
        <v>149</v>
      </c>
      <c r="D26" s="31" t="s">
        <v>624</v>
      </c>
      <c r="E26" s="32" t="s">
        <v>2428</v>
      </c>
      <c r="F26" s="31" t="s">
        <v>151</v>
      </c>
      <c r="G26" s="33" t="s">
        <v>2429</v>
      </c>
      <c r="H26" s="29"/>
    </row>
    <row r="27" ht="30.0" customHeight="1">
      <c r="A27" s="25" t="s">
        <v>2430</v>
      </c>
      <c r="B27" s="26">
        <v>5.5112359313E11</v>
      </c>
      <c r="C27" s="31" t="s">
        <v>155</v>
      </c>
      <c r="D27" s="31" t="s">
        <v>156</v>
      </c>
      <c r="E27" s="32" t="s">
        <v>2431</v>
      </c>
      <c r="F27" s="31" t="s">
        <v>151</v>
      </c>
      <c r="G27" s="33" t="s">
        <v>2432</v>
      </c>
      <c r="H27" s="29"/>
    </row>
    <row r="28" ht="30.0" customHeight="1">
      <c r="A28" s="28" t="s">
        <v>2433</v>
      </c>
      <c r="B28" s="31">
        <v>5.511991603041E12</v>
      </c>
      <c r="C28" s="31" t="s">
        <v>155</v>
      </c>
      <c r="D28" s="31" t="s">
        <v>156</v>
      </c>
      <c r="E28" s="32" t="s">
        <v>2434</v>
      </c>
      <c r="F28" s="31" t="s">
        <v>151</v>
      </c>
      <c r="G28" s="33" t="s">
        <v>2365</v>
      </c>
      <c r="H28" s="29"/>
    </row>
    <row r="29" ht="30.0" customHeight="1">
      <c r="A29" s="25" t="s">
        <v>2435</v>
      </c>
      <c r="B29" s="26">
        <v>5.531985806819E12</v>
      </c>
      <c r="C29" s="31" t="s">
        <v>166</v>
      </c>
      <c r="D29" s="31" t="s">
        <v>353</v>
      </c>
      <c r="E29" s="32" t="s">
        <v>2436</v>
      </c>
      <c r="F29" s="31" t="s">
        <v>151</v>
      </c>
      <c r="G29" s="33" t="s">
        <v>2437</v>
      </c>
      <c r="H29" s="29"/>
    </row>
    <row r="30" ht="30.0" customHeight="1">
      <c r="A30" s="25" t="s">
        <v>2438</v>
      </c>
      <c r="B30" s="31">
        <v>5.531996054801E12</v>
      </c>
      <c r="C30" s="31" t="s">
        <v>166</v>
      </c>
      <c r="D30" s="31" t="s">
        <v>353</v>
      </c>
      <c r="E30" s="32" t="s">
        <v>2439</v>
      </c>
      <c r="F30" s="31" t="s">
        <v>151</v>
      </c>
      <c r="G30" s="33" t="s">
        <v>2387</v>
      </c>
      <c r="H30" s="29"/>
    </row>
    <row r="31" ht="30.0" customHeight="1">
      <c r="A31" s="25" t="s">
        <v>2440</v>
      </c>
      <c r="B31" s="26">
        <v>5.531985512838E12</v>
      </c>
      <c r="C31" s="31" t="s">
        <v>166</v>
      </c>
      <c r="D31" s="31" t="s">
        <v>353</v>
      </c>
      <c r="E31" s="32" t="s">
        <v>2441</v>
      </c>
      <c r="F31" s="31" t="s">
        <v>151</v>
      </c>
      <c r="G31" s="33" t="s">
        <v>2442</v>
      </c>
      <c r="H31" s="29"/>
    </row>
    <row r="32" ht="30.0" customHeight="1">
      <c r="A32" s="25" t="s">
        <v>2443</v>
      </c>
      <c r="B32" s="26">
        <v>5.531998744093E12</v>
      </c>
      <c r="C32" s="31" t="s">
        <v>166</v>
      </c>
      <c r="D32" s="31" t="s">
        <v>353</v>
      </c>
      <c r="E32" s="32" t="s">
        <v>2444</v>
      </c>
      <c r="F32" s="31" t="s">
        <v>151</v>
      </c>
      <c r="G32" s="33" t="s">
        <v>2445</v>
      </c>
      <c r="H32" s="29"/>
    </row>
    <row r="33" ht="30.0" customHeight="1">
      <c r="A33" s="25" t="s">
        <v>2446</v>
      </c>
      <c r="B33" s="26">
        <v>5.511940385801E12</v>
      </c>
      <c r="C33" s="31" t="s">
        <v>155</v>
      </c>
      <c r="D33" s="31" t="s">
        <v>156</v>
      </c>
      <c r="E33" s="32" t="s">
        <v>2447</v>
      </c>
      <c r="F33" s="31" t="s">
        <v>871</v>
      </c>
      <c r="G33" s="33" t="s">
        <v>2448</v>
      </c>
      <c r="H33" s="29"/>
    </row>
    <row r="34" ht="30.0" customHeight="1">
      <c r="A34" s="25" t="s">
        <v>2449</v>
      </c>
      <c r="B34" s="26">
        <v>5.513998068262E12</v>
      </c>
      <c r="C34" s="31" t="s">
        <v>155</v>
      </c>
      <c r="D34" s="31" t="s">
        <v>798</v>
      </c>
      <c r="E34" s="32" t="s">
        <v>2450</v>
      </c>
      <c r="F34" s="31" t="s">
        <v>151</v>
      </c>
      <c r="G34" s="33" t="s">
        <v>2451</v>
      </c>
      <c r="H34" s="29"/>
    </row>
    <row r="35" ht="30.0" customHeight="1">
      <c r="A35" s="25" t="s">
        <v>2452</v>
      </c>
      <c r="B35" s="26">
        <v>5.51132431511E11</v>
      </c>
      <c r="C35" s="31" t="s">
        <v>155</v>
      </c>
      <c r="D35" s="31" t="s">
        <v>156</v>
      </c>
      <c r="E35" s="32" t="s">
        <v>2453</v>
      </c>
      <c r="F35" s="31" t="s">
        <v>151</v>
      </c>
      <c r="G35" s="33" t="s">
        <v>2454</v>
      </c>
      <c r="H35" s="29"/>
    </row>
    <row r="36" ht="30.0" customHeight="1">
      <c r="A36" s="25" t="s">
        <v>2455</v>
      </c>
      <c r="B36" s="26">
        <v>5.519999161977E12</v>
      </c>
      <c r="C36" s="31" t="s">
        <v>155</v>
      </c>
      <c r="D36" s="31" t="s">
        <v>1045</v>
      </c>
      <c r="E36" s="32" t="s">
        <v>2456</v>
      </c>
      <c r="F36" s="31" t="s">
        <v>151</v>
      </c>
      <c r="G36" s="33" t="s">
        <v>2457</v>
      </c>
      <c r="H36" s="29"/>
    </row>
    <row r="37" ht="30.0" customHeight="1">
      <c r="A37" s="101" t="s">
        <v>2458</v>
      </c>
      <c r="B37" s="26">
        <v>5.5279964419E12</v>
      </c>
      <c r="C37" s="31" t="s">
        <v>212</v>
      </c>
      <c r="D37" s="31" t="s">
        <v>1900</v>
      </c>
      <c r="E37" s="32" t="s">
        <v>2459</v>
      </c>
      <c r="F37" s="31" t="s">
        <v>151</v>
      </c>
      <c r="G37" s="33" t="s">
        <v>2460</v>
      </c>
      <c r="H37" s="29"/>
    </row>
    <row r="38" ht="30.0" customHeight="1">
      <c r="A38" s="101" t="s">
        <v>2461</v>
      </c>
      <c r="B38" s="31">
        <v>5.527306078E11</v>
      </c>
      <c r="C38" s="31" t="s">
        <v>212</v>
      </c>
      <c r="D38" s="31" t="s">
        <v>1900</v>
      </c>
      <c r="E38" s="32" t="s">
        <v>2462</v>
      </c>
      <c r="F38" s="31" t="s">
        <v>151</v>
      </c>
      <c r="G38" s="33" t="s">
        <v>2463</v>
      </c>
      <c r="H38" s="29"/>
    </row>
    <row r="39" ht="30.0" customHeight="1">
      <c r="A39" s="101" t="s">
        <v>2464</v>
      </c>
      <c r="B39" s="31">
        <v>5.52733286046E11</v>
      </c>
      <c r="C39" s="31" t="s">
        <v>212</v>
      </c>
      <c r="D39" s="31" t="s">
        <v>1900</v>
      </c>
      <c r="E39" s="32" t="s">
        <v>2465</v>
      </c>
      <c r="F39" s="31" t="s">
        <v>151</v>
      </c>
      <c r="G39" s="33" t="s">
        <v>2466</v>
      </c>
      <c r="H39" s="29"/>
    </row>
    <row r="40" ht="30.0" customHeight="1">
      <c r="A40" s="25" t="s">
        <v>2467</v>
      </c>
      <c r="B40" s="31">
        <v>5.571992992636E12</v>
      </c>
      <c r="C40" s="31" t="s">
        <v>2397</v>
      </c>
      <c r="D40" s="31" t="s">
        <v>2468</v>
      </c>
      <c r="E40" s="27" t="s">
        <v>2469</v>
      </c>
      <c r="F40" s="31" t="s">
        <v>871</v>
      </c>
      <c r="G40" s="33" t="s">
        <v>2470</v>
      </c>
      <c r="H40" s="29"/>
    </row>
    <row r="41" ht="30.0" customHeight="1">
      <c r="A41" s="25" t="s">
        <v>2471</v>
      </c>
      <c r="B41" s="31">
        <v>5.571988334543E12</v>
      </c>
      <c r="C41" s="31" t="s">
        <v>2397</v>
      </c>
      <c r="D41" s="31" t="s">
        <v>1987</v>
      </c>
      <c r="E41" s="32" t="s">
        <v>2472</v>
      </c>
      <c r="F41" s="31" t="s">
        <v>151</v>
      </c>
      <c r="G41" s="33" t="s">
        <v>2473</v>
      </c>
      <c r="H41" s="29"/>
    </row>
    <row r="42" ht="30.0" customHeight="1">
      <c r="A42" s="25" t="s">
        <v>2474</v>
      </c>
      <c r="B42" s="31">
        <v>5.571992497196E12</v>
      </c>
      <c r="C42" s="31" t="s">
        <v>2397</v>
      </c>
      <c r="D42" s="31" t="s">
        <v>2475</v>
      </c>
      <c r="E42" s="32" t="s">
        <v>2476</v>
      </c>
      <c r="F42" s="31" t="s">
        <v>151</v>
      </c>
      <c r="G42" s="33" t="s">
        <v>2477</v>
      </c>
      <c r="H42" s="29"/>
    </row>
    <row r="43" ht="30.0" customHeight="1">
      <c r="A43" s="25" t="s">
        <v>2478</v>
      </c>
      <c r="B43" s="31">
        <v>5.57139950413E11</v>
      </c>
      <c r="C43" s="31" t="s">
        <v>2397</v>
      </c>
      <c r="D43" s="31" t="s">
        <v>2279</v>
      </c>
      <c r="E43" s="32" t="s">
        <v>2479</v>
      </c>
      <c r="F43" s="31" t="s">
        <v>151</v>
      </c>
      <c r="G43" s="33" t="s">
        <v>2480</v>
      </c>
      <c r="H43" s="29"/>
    </row>
    <row r="44" ht="30.0" customHeight="1">
      <c r="A44" s="113"/>
      <c r="B44" s="36"/>
      <c r="C44" s="36"/>
      <c r="D44" s="36"/>
      <c r="E44" s="37"/>
      <c r="F44" s="36"/>
      <c r="G44" s="38"/>
      <c r="H44" s="29"/>
    </row>
    <row r="45" ht="30.0" customHeight="1">
      <c r="A45" s="36"/>
      <c r="B45" s="36"/>
      <c r="C45" s="36"/>
      <c r="D45" s="36"/>
      <c r="E45" s="37"/>
      <c r="F45" s="36"/>
      <c r="G45" s="38"/>
      <c r="H45" s="29"/>
    </row>
    <row r="46" ht="30.0" customHeight="1">
      <c r="A46" s="36"/>
      <c r="B46" s="36"/>
      <c r="C46" s="36"/>
      <c r="D46" s="36"/>
      <c r="E46" s="37"/>
      <c r="F46" s="36"/>
      <c r="G46" s="38"/>
      <c r="H46" s="29"/>
    </row>
    <row r="47" ht="30.0" customHeight="1">
      <c r="A47" s="36"/>
      <c r="B47" s="36"/>
      <c r="C47" s="36"/>
      <c r="D47" s="36"/>
      <c r="E47" s="37"/>
      <c r="F47" s="36"/>
      <c r="G47" s="38"/>
      <c r="H47" s="29"/>
    </row>
    <row r="48" ht="30.0" customHeight="1">
      <c r="A48" s="36"/>
      <c r="B48" s="36"/>
      <c r="C48" s="36"/>
      <c r="D48" s="36"/>
      <c r="E48" s="37"/>
      <c r="F48" s="36"/>
      <c r="G48" s="38"/>
      <c r="H48" s="29"/>
    </row>
    <row r="49" ht="30.0" customHeight="1">
      <c r="A49" s="36"/>
      <c r="B49" s="36"/>
      <c r="C49" s="36"/>
      <c r="D49" s="36"/>
      <c r="E49" s="37"/>
      <c r="F49" s="36"/>
      <c r="G49" s="38"/>
      <c r="H49" s="29"/>
    </row>
    <row r="50" ht="30.0" customHeight="1">
      <c r="A50" s="36"/>
      <c r="B50" s="36"/>
      <c r="C50" s="36"/>
      <c r="D50" s="36"/>
      <c r="E50" s="37"/>
      <c r="F50" s="36"/>
      <c r="G50" s="38"/>
      <c r="H50" s="29"/>
    </row>
    <row r="51" ht="30.0" customHeight="1">
      <c r="A51" s="36"/>
      <c r="B51" s="36"/>
      <c r="C51" s="36"/>
      <c r="D51" s="36"/>
      <c r="E51" s="37"/>
      <c r="F51" s="36"/>
      <c r="G51" s="38"/>
      <c r="H51" s="29"/>
    </row>
    <row r="52" ht="30.0" customHeight="1">
      <c r="A52" s="36"/>
      <c r="B52" s="36"/>
      <c r="C52" s="36"/>
      <c r="D52" s="36"/>
      <c r="E52" s="37"/>
      <c r="F52" s="36"/>
      <c r="G52" s="38"/>
      <c r="H52" s="29"/>
    </row>
    <row r="53" ht="30.0" customHeight="1">
      <c r="A53" s="36"/>
      <c r="B53" s="36"/>
      <c r="C53" s="36"/>
      <c r="D53" s="36"/>
      <c r="E53" s="37"/>
      <c r="F53" s="36"/>
      <c r="G53" s="38"/>
      <c r="H53" s="29"/>
    </row>
    <row r="54" ht="30.0" customHeight="1">
      <c r="A54" s="36"/>
      <c r="B54" s="36"/>
      <c r="C54" s="36"/>
      <c r="D54" s="36"/>
      <c r="E54" s="37"/>
      <c r="F54" s="36"/>
      <c r="G54" s="38"/>
      <c r="H54" s="29"/>
    </row>
    <row r="55" ht="30.0" customHeight="1">
      <c r="A55" s="36"/>
      <c r="B55" s="36"/>
      <c r="C55" s="36"/>
      <c r="D55" s="36"/>
      <c r="E55" s="37"/>
      <c r="F55" s="36"/>
      <c r="G55" s="38"/>
      <c r="H55" s="29"/>
    </row>
    <row r="56" ht="30.0" customHeight="1">
      <c r="A56" s="36"/>
      <c r="B56" s="36"/>
      <c r="C56" s="36"/>
      <c r="D56" s="36"/>
      <c r="E56" s="37"/>
      <c r="F56" s="36"/>
      <c r="G56" s="38"/>
      <c r="H56" s="29"/>
    </row>
    <row r="57" ht="30.0" customHeight="1">
      <c r="A57" s="36"/>
      <c r="B57" s="36"/>
      <c r="C57" s="36"/>
      <c r="D57" s="36"/>
      <c r="E57" s="37"/>
      <c r="F57" s="36"/>
      <c r="G57" s="38"/>
      <c r="H57" s="29"/>
    </row>
    <row r="58" ht="30.0" customHeight="1">
      <c r="A58" s="36"/>
      <c r="B58" s="36"/>
      <c r="C58" s="36"/>
      <c r="D58" s="36"/>
      <c r="E58" s="37"/>
      <c r="F58" s="36"/>
      <c r="G58" s="38"/>
      <c r="H58" s="29"/>
    </row>
    <row r="59" ht="30.0" customHeight="1">
      <c r="A59" s="36"/>
      <c r="B59" s="36"/>
      <c r="C59" s="36"/>
      <c r="D59" s="36"/>
      <c r="E59" s="37"/>
      <c r="F59" s="36"/>
      <c r="G59" s="38"/>
      <c r="H59" s="29"/>
    </row>
    <row r="60" ht="30.0" customHeight="1">
      <c r="A60" s="36"/>
      <c r="B60" s="36"/>
      <c r="C60" s="36"/>
      <c r="D60" s="36"/>
      <c r="E60" s="37"/>
      <c r="F60" s="36"/>
      <c r="G60" s="38"/>
      <c r="H60" s="29"/>
    </row>
    <row r="61" ht="15.75" customHeight="1">
      <c r="B61" s="65"/>
      <c r="C61" s="65"/>
      <c r="D61" s="65"/>
      <c r="E61" s="66"/>
      <c r="F61" s="65"/>
      <c r="G61" s="67"/>
    </row>
    <row r="62" ht="15.75" customHeight="1">
      <c r="B62" s="65"/>
      <c r="C62" s="65"/>
      <c r="D62" s="65"/>
      <c r="E62" s="66"/>
      <c r="F62" s="65"/>
      <c r="G62" s="67"/>
    </row>
    <row r="63" ht="15.75" customHeight="1">
      <c r="B63" s="65"/>
      <c r="C63" s="65"/>
      <c r="D63" s="65"/>
      <c r="E63" s="66"/>
      <c r="F63" s="65"/>
      <c r="G63" s="67"/>
    </row>
    <row r="64" ht="15.75" customHeight="1">
      <c r="B64" s="65"/>
      <c r="C64" s="65"/>
      <c r="D64" s="65"/>
      <c r="E64" s="66"/>
      <c r="F64" s="65"/>
      <c r="G64" s="67"/>
    </row>
    <row r="65" ht="15.75" customHeight="1">
      <c r="B65" s="65"/>
      <c r="C65" s="65"/>
      <c r="D65" s="65"/>
      <c r="E65" s="66"/>
      <c r="F65" s="65"/>
      <c r="G65" s="67"/>
    </row>
    <row r="66" ht="15.75" customHeight="1">
      <c r="B66" s="65"/>
      <c r="C66" s="65"/>
      <c r="D66" s="65"/>
      <c r="E66" s="66"/>
      <c r="F66" s="65"/>
      <c r="G66" s="67"/>
    </row>
    <row r="67" ht="15.75" customHeight="1">
      <c r="B67" s="65"/>
      <c r="C67" s="65"/>
      <c r="D67" s="65"/>
      <c r="E67" s="66"/>
      <c r="F67" s="65"/>
      <c r="G67" s="67"/>
    </row>
    <row r="68" ht="15.75" customHeight="1">
      <c r="B68" s="65"/>
      <c r="C68" s="65"/>
      <c r="D68" s="65"/>
      <c r="E68" s="66"/>
      <c r="F68" s="65"/>
      <c r="G68" s="67"/>
    </row>
    <row r="69" ht="15.75" customHeight="1">
      <c r="B69" s="65"/>
      <c r="C69" s="65"/>
      <c r="D69" s="65"/>
      <c r="E69" s="66"/>
      <c r="F69" s="65"/>
      <c r="G69" s="67"/>
    </row>
    <row r="70" ht="15.75" customHeight="1">
      <c r="B70" s="65"/>
      <c r="C70" s="65"/>
      <c r="D70" s="65"/>
      <c r="E70" s="66"/>
      <c r="F70" s="65"/>
      <c r="G70" s="67"/>
    </row>
    <row r="71" ht="15.75" customHeight="1">
      <c r="B71" s="65"/>
      <c r="C71" s="65"/>
      <c r="D71" s="65"/>
      <c r="E71" s="66"/>
      <c r="F71" s="65"/>
      <c r="G71" s="67"/>
    </row>
    <row r="72" ht="15.75" customHeight="1">
      <c r="B72" s="65"/>
      <c r="C72" s="65"/>
      <c r="D72" s="65"/>
      <c r="E72" s="66"/>
      <c r="F72" s="65"/>
      <c r="G72" s="67"/>
    </row>
    <row r="73" ht="15.75" customHeight="1">
      <c r="B73" s="65"/>
      <c r="C73" s="65"/>
      <c r="D73" s="65"/>
      <c r="E73" s="66"/>
      <c r="F73" s="65"/>
      <c r="G73" s="67"/>
    </row>
    <row r="74" ht="15.75" customHeight="1">
      <c r="B74" s="65"/>
      <c r="C74" s="65"/>
      <c r="D74" s="65"/>
      <c r="E74" s="66"/>
      <c r="F74" s="65"/>
      <c r="G74" s="67"/>
    </row>
    <row r="75" ht="15.75" customHeight="1">
      <c r="B75" s="65"/>
      <c r="C75" s="65"/>
      <c r="D75" s="65"/>
      <c r="E75" s="66"/>
      <c r="F75" s="65"/>
      <c r="G75" s="67"/>
    </row>
    <row r="76" ht="15.75" customHeight="1">
      <c r="B76" s="65"/>
      <c r="C76" s="65"/>
      <c r="D76" s="65"/>
      <c r="E76" s="66"/>
      <c r="F76" s="65"/>
      <c r="G76" s="67"/>
    </row>
    <row r="77" ht="15.75" customHeight="1">
      <c r="B77" s="65"/>
      <c r="C77" s="65"/>
      <c r="D77" s="65"/>
      <c r="E77" s="66"/>
      <c r="F77" s="65"/>
      <c r="G77" s="67"/>
    </row>
    <row r="78" ht="15.75" customHeight="1">
      <c r="B78" s="65"/>
      <c r="C78" s="65"/>
      <c r="D78" s="65"/>
      <c r="E78" s="66"/>
      <c r="F78" s="65"/>
      <c r="G78" s="67"/>
    </row>
    <row r="79" ht="15.75" customHeight="1">
      <c r="B79" s="65"/>
      <c r="C79" s="65"/>
      <c r="D79" s="65"/>
      <c r="E79" s="66"/>
      <c r="F79" s="65"/>
      <c r="G79" s="67"/>
    </row>
    <row r="80" ht="15.75" customHeight="1">
      <c r="B80" s="65"/>
      <c r="C80" s="65"/>
      <c r="D80" s="65"/>
      <c r="E80" s="66"/>
      <c r="F80" s="65"/>
      <c r="G80" s="67"/>
    </row>
    <row r="81" ht="15.75" customHeight="1">
      <c r="B81" s="65"/>
      <c r="C81" s="65"/>
      <c r="D81" s="65"/>
      <c r="E81" s="66"/>
      <c r="F81" s="65"/>
      <c r="G81" s="67"/>
    </row>
    <row r="82" ht="15.75" customHeight="1">
      <c r="B82" s="65"/>
      <c r="C82" s="65"/>
      <c r="D82" s="65"/>
      <c r="E82" s="66"/>
      <c r="F82" s="65"/>
      <c r="G82" s="67"/>
    </row>
    <row r="83" ht="15.75" customHeight="1">
      <c r="B83" s="65"/>
      <c r="C83" s="65"/>
      <c r="D83" s="65"/>
      <c r="E83" s="66"/>
      <c r="F83" s="65"/>
      <c r="G83" s="67"/>
    </row>
    <row r="84" ht="15.75" customHeight="1">
      <c r="B84" s="65"/>
      <c r="C84" s="65"/>
      <c r="D84" s="65"/>
      <c r="E84" s="66"/>
      <c r="F84" s="65"/>
      <c r="G84" s="67"/>
    </row>
    <row r="85" ht="15.75" customHeight="1">
      <c r="B85" s="65"/>
      <c r="C85" s="65"/>
      <c r="D85" s="65"/>
      <c r="E85" s="66"/>
      <c r="F85" s="65"/>
      <c r="G85" s="67"/>
    </row>
    <row r="86" ht="15.75" customHeight="1">
      <c r="B86" s="65"/>
      <c r="C86" s="65"/>
      <c r="D86" s="65"/>
      <c r="E86" s="66"/>
      <c r="F86" s="65"/>
      <c r="G86" s="67"/>
    </row>
    <row r="87" ht="15.75" customHeight="1">
      <c r="B87" s="65"/>
      <c r="C87" s="65"/>
      <c r="D87" s="65"/>
      <c r="E87" s="66"/>
      <c r="F87" s="65"/>
      <c r="G87" s="67"/>
    </row>
    <row r="88" ht="15.75" customHeight="1">
      <c r="B88" s="65"/>
      <c r="C88" s="65"/>
      <c r="D88" s="65"/>
      <c r="E88" s="66"/>
      <c r="F88" s="65"/>
      <c r="G88" s="67"/>
    </row>
    <row r="89" ht="15.75" customHeight="1">
      <c r="B89" s="65"/>
      <c r="C89" s="65"/>
      <c r="D89" s="65"/>
      <c r="E89" s="66"/>
      <c r="F89" s="65"/>
      <c r="G89" s="67"/>
    </row>
    <row r="90" ht="15.75" customHeight="1">
      <c r="B90" s="65"/>
      <c r="C90" s="65"/>
      <c r="D90" s="65"/>
      <c r="E90" s="66"/>
      <c r="F90" s="65"/>
      <c r="G90" s="67"/>
    </row>
    <row r="91" ht="15.75" customHeight="1">
      <c r="B91" s="65"/>
      <c r="C91" s="65"/>
      <c r="D91" s="65"/>
      <c r="E91" s="66"/>
      <c r="F91" s="65"/>
      <c r="G91" s="67"/>
    </row>
    <row r="92" ht="15.75" customHeight="1">
      <c r="B92" s="65"/>
      <c r="C92" s="65"/>
      <c r="D92" s="65"/>
      <c r="E92" s="66"/>
      <c r="F92" s="65"/>
      <c r="G92" s="67"/>
    </row>
    <row r="93" ht="15.75" customHeight="1">
      <c r="B93" s="65"/>
      <c r="C93" s="65"/>
      <c r="D93" s="65"/>
      <c r="E93" s="66"/>
      <c r="F93" s="65"/>
      <c r="G93" s="67"/>
    </row>
    <row r="94" ht="15.75" customHeight="1">
      <c r="B94" s="65"/>
      <c r="C94" s="65"/>
      <c r="D94" s="65"/>
      <c r="E94" s="66"/>
      <c r="F94" s="65"/>
      <c r="G94" s="67"/>
    </row>
    <row r="95" ht="15.75" customHeight="1">
      <c r="B95" s="65"/>
      <c r="C95" s="65"/>
      <c r="D95" s="65"/>
      <c r="E95" s="66"/>
      <c r="F95" s="65"/>
      <c r="G95" s="67"/>
    </row>
    <row r="96" ht="15.75" customHeight="1">
      <c r="B96" s="65"/>
      <c r="C96" s="65"/>
      <c r="D96" s="65"/>
      <c r="E96" s="66"/>
      <c r="F96" s="65"/>
      <c r="G96" s="67"/>
    </row>
    <row r="97" ht="15.75" customHeight="1">
      <c r="B97" s="65"/>
      <c r="C97" s="65"/>
      <c r="D97" s="65"/>
      <c r="E97" s="66"/>
      <c r="F97" s="65"/>
      <c r="G97" s="67"/>
    </row>
    <row r="98" ht="15.75" customHeight="1">
      <c r="B98" s="65"/>
      <c r="C98" s="65"/>
      <c r="D98" s="65"/>
      <c r="E98" s="66"/>
      <c r="F98" s="65"/>
      <c r="G98" s="67"/>
    </row>
    <row r="99" ht="15.75" customHeight="1">
      <c r="B99" s="65"/>
      <c r="C99" s="65"/>
      <c r="D99" s="65"/>
      <c r="E99" s="66"/>
      <c r="F99" s="65"/>
      <c r="G99" s="67"/>
    </row>
    <row r="100" ht="15.75" customHeight="1">
      <c r="B100" s="65"/>
      <c r="C100" s="65"/>
      <c r="D100" s="65"/>
      <c r="E100" s="66"/>
      <c r="F100" s="65"/>
      <c r="G100" s="67"/>
    </row>
    <row r="101" ht="15.75" customHeight="1">
      <c r="B101" s="65"/>
      <c r="C101" s="65"/>
      <c r="D101" s="65"/>
      <c r="E101" s="66"/>
      <c r="F101" s="65"/>
      <c r="G101" s="67"/>
    </row>
    <row r="102" ht="15.75" customHeight="1">
      <c r="B102" s="65"/>
      <c r="C102" s="65"/>
      <c r="D102" s="65"/>
      <c r="E102" s="66"/>
      <c r="F102" s="65"/>
      <c r="G102" s="67"/>
    </row>
    <row r="103" ht="15.75" customHeight="1">
      <c r="B103" s="65"/>
      <c r="C103" s="65"/>
      <c r="D103" s="65"/>
      <c r="E103" s="66"/>
      <c r="F103" s="65"/>
      <c r="G103" s="67"/>
    </row>
    <row r="104" ht="15.75" customHeight="1">
      <c r="B104" s="65"/>
      <c r="C104" s="65"/>
      <c r="D104" s="65"/>
      <c r="E104" s="66"/>
      <c r="F104" s="65"/>
      <c r="G104" s="67"/>
    </row>
    <row r="105" ht="15.75" customHeight="1">
      <c r="B105" s="65"/>
      <c r="C105" s="65"/>
      <c r="D105" s="65"/>
      <c r="E105" s="66"/>
      <c r="F105" s="65"/>
      <c r="G105" s="67"/>
    </row>
    <row r="106" ht="15.75" customHeight="1">
      <c r="B106" s="65"/>
      <c r="C106" s="65"/>
      <c r="D106" s="65"/>
      <c r="E106" s="66"/>
      <c r="F106" s="65"/>
      <c r="G106" s="67"/>
    </row>
    <row r="107" ht="15.75" customHeight="1">
      <c r="B107" s="65"/>
      <c r="C107" s="65"/>
      <c r="D107" s="65"/>
      <c r="E107" s="66"/>
      <c r="F107" s="65"/>
      <c r="G107" s="67"/>
    </row>
    <row r="108" ht="15.75" customHeight="1">
      <c r="B108" s="65"/>
      <c r="C108" s="65"/>
      <c r="D108" s="65"/>
      <c r="E108" s="66"/>
      <c r="F108" s="65"/>
      <c r="G108" s="67"/>
    </row>
    <row r="109" ht="15.75" customHeight="1">
      <c r="B109" s="65"/>
      <c r="C109" s="65"/>
      <c r="D109" s="65"/>
      <c r="E109" s="66"/>
      <c r="F109" s="65"/>
      <c r="G109" s="67"/>
    </row>
    <row r="110" ht="15.75" customHeight="1">
      <c r="B110" s="65"/>
      <c r="C110" s="65"/>
      <c r="D110" s="65"/>
      <c r="E110" s="66"/>
      <c r="F110" s="65"/>
      <c r="G110" s="67"/>
    </row>
    <row r="111" ht="15.75" customHeight="1">
      <c r="B111" s="65"/>
      <c r="C111" s="65"/>
      <c r="D111" s="65"/>
      <c r="E111" s="66"/>
      <c r="F111" s="65"/>
      <c r="G111" s="67"/>
    </row>
    <row r="112" ht="15.75" customHeight="1">
      <c r="B112" s="65"/>
      <c r="C112" s="65"/>
      <c r="D112" s="65"/>
      <c r="E112" s="66"/>
      <c r="F112" s="65"/>
      <c r="G112" s="67"/>
    </row>
    <row r="113" ht="15.75" customHeight="1">
      <c r="B113" s="65"/>
      <c r="C113" s="65"/>
      <c r="D113" s="65"/>
      <c r="E113" s="66"/>
      <c r="F113" s="65"/>
      <c r="G113" s="67"/>
    </row>
    <row r="114" ht="15.75" customHeight="1">
      <c r="B114" s="65"/>
      <c r="C114" s="65"/>
      <c r="D114" s="65"/>
      <c r="E114" s="66"/>
      <c r="F114" s="65"/>
      <c r="G114" s="67"/>
    </row>
    <row r="115" ht="15.75" customHeight="1">
      <c r="B115" s="65"/>
      <c r="C115" s="65"/>
      <c r="D115" s="65"/>
      <c r="E115" s="66"/>
      <c r="F115" s="65"/>
      <c r="G115" s="67"/>
    </row>
    <row r="116" ht="15.75" customHeight="1">
      <c r="B116" s="65"/>
      <c r="C116" s="65"/>
      <c r="D116" s="65"/>
      <c r="E116" s="66"/>
      <c r="F116" s="65"/>
      <c r="G116" s="67"/>
    </row>
    <row r="117" ht="15.75" customHeight="1">
      <c r="B117" s="65"/>
      <c r="C117" s="65"/>
      <c r="D117" s="65"/>
      <c r="E117" s="66"/>
      <c r="F117" s="65"/>
      <c r="G117" s="67"/>
    </row>
    <row r="118" ht="15.75" customHeight="1">
      <c r="B118" s="65"/>
      <c r="C118" s="65"/>
      <c r="D118" s="65"/>
      <c r="E118" s="66"/>
      <c r="F118" s="65"/>
      <c r="G118" s="67"/>
    </row>
    <row r="119" ht="15.75" customHeight="1">
      <c r="B119" s="65"/>
      <c r="C119" s="65"/>
      <c r="D119" s="65"/>
      <c r="E119" s="66"/>
      <c r="F119" s="65"/>
      <c r="G119" s="67"/>
    </row>
    <row r="120" ht="15.75" customHeight="1">
      <c r="B120" s="65"/>
      <c r="C120" s="65"/>
      <c r="D120" s="65"/>
      <c r="E120" s="66"/>
      <c r="F120" s="65"/>
      <c r="G120" s="67"/>
    </row>
    <row r="121" ht="15.75" customHeight="1">
      <c r="B121" s="65"/>
      <c r="C121" s="65"/>
      <c r="D121" s="65"/>
      <c r="E121" s="66"/>
      <c r="F121" s="65"/>
      <c r="G121" s="67"/>
    </row>
    <row r="122" ht="15.75" customHeight="1">
      <c r="B122" s="65"/>
      <c r="C122" s="65"/>
      <c r="D122" s="65"/>
      <c r="E122" s="66"/>
      <c r="F122" s="65"/>
      <c r="G122" s="67"/>
    </row>
    <row r="123" ht="15.75" customHeight="1">
      <c r="B123" s="65"/>
      <c r="C123" s="65"/>
      <c r="D123" s="65"/>
      <c r="E123" s="66"/>
      <c r="F123" s="65"/>
      <c r="G123" s="67"/>
    </row>
    <row r="124" ht="15.75" customHeight="1">
      <c r="B124" s="65"/>
      <c r="C124" s="65"/>
      <c r="D124" s="65"/>
      <c r="E124" s="66"/>
      <c r="F124" s="65"/>
      <c r="G124" s="67"/>
    </row>
    <row r="125" ht="15.75" customHeight="1">
      <c r="B125" s="65"/>
      <c r="C125" s="65"/>
      <c r="D125" s="65"/>
      <c r="E125" s="66"/>
      <c r="F125" s="65"/>
      <c r="G125" s="67"/>
    </row>
    <row r="126" ht="15.75" customHeight="1">
      <c r="B126" s="65"/>
      <c r="C126" s="65"/>
      <c r="D126" s="65"/>
      <c r="E126" s="66"/>
      <c r="F126" s="65"/>
      <c r="G126" s="67"/>
    </row>
    <row r="127" ht="15.75" customHeight="1">
      <c r="B127" s="65"/>
      <c r="C127" s="65"/>
      <c r="D127" s="65"/>
      <c r="E127" s="66"/>
      <c r="F127" s="65"/>
      <c r="G127" s="67"/>
    </row>
    <row r="128" ht="15.75" customHeight="1">
      <c r="B128" s="65"/>
      <c r="C128" s="65"/>
      <c r="D128" s="65"/>
      <c r="E128" s="66"/>
      <c r="F128" s="65"/>
      <c r="G128" s="67"/>
    </row>
    <row r="129" ht="15.75" customHeight="1">
      <c r="B129" s="65"/>
      <c r="C129" s="65"/>
      <c r="D129" s="65"/>
      <c r="E129" s="66"/>
      <c r="F129" s="65"/>
      <c r="G129" s="67"/>
    </row>
    <row r="130" ht="15.75" customHeight="1">
      <c r="B130" s="65"/>
      <c r="C130" s="65"/>
      <c r="D130" s="65"/>
      <c r="E130" s="66"/>
      <c r="F130" s="65"/>
      <c r="G130" s="67"/>
    </row>
    <row r="131" ht="15.75" customHeight="1">
      <c r="B131" s="65"/>
      <c r="C131" s="65"/>
      <c r="D131" s="65"/>
      <c r="E131" s="66"/>
      <c r="F131" s="65"/>
      <c r="G131" s="67"/>
    </row>
    <row r="132" ht="15.75" customHeight="1">
      <c r="B132" s="65"/>
      <c r="C132" s="65"/>
      <c r="D132" s="65"/>
      <c r="E132" s="66"/>
      <c r="F132" s="65"/>
      <c r="G132" s="67"/>
    </row>
    <row r="133" ht="15.75" customHeight="1">
      <c r="B133" s="65"/>
      <c r="C133" s="65"/>
      <c r="D133" s="65"/>
      <c r="E133" s="66"/>
      <c r="F133" s="65"/>
      <c r="G133" s="67"/>
    </row>
    <row r="134" ht="15.75" customHeight="1">
      <c r="B134" s="65"/>
      <c r="C134" s="65"/>
      <c r="D134" s="65"/>
      <c r="E134" s="66"/>
      <c r="F134" s="65"/>
      <c r="G134" s="67"/>
    </row>
    <row r="135" ht="15.75" customHeight="1">
      <c r="B135" s="65"/>
      <c r="C135" s="65"/>
      <c r="D135" s="65"/>
      <c r="E135" s="66"/>
      <c r="F135" s="65"/>
      <c r="G135" s="67"/>
    </row>
    <row r="136" ht="15.75" customHeight="1">
      <c r="B136" s="65"/>
      <c r="C136" s="65"/>
      <c r="D136" s="65"/>
      <c r="E136" s="66"/>
      <c r="F136" s="65"/>
      <c r="G136" s="67"/>
    </row>
    <row r="137" ht="15.75" customHeight="1">
      <c r="B137" s="65"/>
      <c r="C137" s="65"/>
      <c r="D137" s="65"/>
      <c r="E137" s="66"/>
      <c r="F137" s="65"/>
      <c r="G137" s="67"/>
    </row>
    <row r="138" ht="15.75" customHeight="1">
      <c r="B138" s="65"/>
      <c r="C138" s="65"/>
      <c r="D138" s="65"/>
      <c r="E138" s="66"/>
      <c r="F138" s="65"/>
      <c r="G138" s="67"/>
    </row>
    <row r="139" ht="15.75" customHeight="1">
      <c r="B139" s="65"/>
      <c r="C139" s="65"/>
      <c r="D139" s="65"/>
      <c r="E139" s="66"/>
      <c r="F139" s="65"/>
      <c r="G139" s="67"/>
    </row>
    <row r="140" ht="15.75" customHeight="1">
      <c r="B140" s="65"/>
      <c r="C140" s="65"/>
      <c r="D140" s="65"/>
      <c r="E140" s="66"/>
      <c r="F140" s="65"/>
      <c r="G140" s="67"/>
    </row>
    <row r="141" ht="15.75" customHeight="1">
      <c r="B141" s="65"/>
      <c r="C141" s="65"/>
      <c r="D141" s="65"/>
      <c r="E141" s="66"/>
      <c r="F141" s="65"/>
      <c r="G141" s="67"/>
    </row>
    <row r="142" ht="15.75" customHeight="1">
      <c r="B142" s="65"/>
      <c r="C142" s="65"/>
      <c r="D142" s="65"/>
      <c r="E142" s="66"/>
      <c r="F142" s="65"/>
      <c r="G142" s="67"/>
    </row>
    <row r="143" ht="15.75" customHeight="1">
      <c r="B143" s="65"/>
      <c r="C143" s="65"/>
      <c r="D143" s="65"/>
      <c r="E143" s="66"/>
      <c r="F143" s="65"/>
      <c r="G143" s="67"/>
    </row>
    <row r="144" ht="15.75" customHeight="1">
      <c r="B144" s="65"/>
      <c r="C144" s="65"/>
      <c r="D144" s="65"/>
      <c r="E144" s="66"/>
      <c r="F144" s="65"/>
      <c r="G144" s="67"/>
    </row>
    <row r="145" ht="15.75" customHeight="1">
      <c r="B145" s="65"/>
      <c r="C145" s="65"/>
      <c r="D145" s="65"/>
      <c r="E145" s="66"/>
      <c r="F145" s="65"/>
      <c r="G145" s="67"/>
    </row>
    <row r="146" ht="15.75" customHeight="1">
      <c r="B146" s="65"/>
      <c r="C146" s="65"/>
      <c r="D146" s="65"/>
      <c r="E146" s="66"/>
      <c r="F146" s="65"/>
      <c r="G146" s="67"/>
    </row>
    <row r="147" ht="15.75" customHeight="1">
      <c r="B147" s="65"/>
      <c r="C147" s="65"/>
      <c r="D147" s="65"/>
      <c r="E147" s="66"/>
      <c r="F147" s="65"/>
      <c r="G147" s="67"/>
    </row>
    <row r="148" ht="15.75" customHeight="1">
      <c r="B148" s="65"/>
      <c r="C148" s="65"/>
      <c r="D148" s="65"/>
      <c r="E148" s="66"/>
      <c r="F148" s="65"/>
      <c r="G148" s="67"/>
    </row>
    <row r="149" ht="15.75" customHeight="1">
      <c r="B149" s="65"/>
      <c r="C149" s="65"/>
      <c r="D149" s="65"/>
      <c r="E149" s="66"/>
      <c r="F149" s="65"/>
      <c r="G149" s="67"/>
    </row>
    <row r="150" ht="15.75" customHeight="1">
      <c r="B150" s="65"/>
      <c r="C150" s="65"/>
      <c r="D150" s="65"/>
      <c r="E150" s="66"/>
      <c r="F150" s="65"/>
      <c r="G150" s="67"/>
    </row>
    <row r="151" ht="15.75" customHeight="1">
      <c r="B151" s="65"/>
      <c r="C151" s="65"/>
      <c r="D151" s="65"/>
      <c r="E151" s="66"/>
      <c r="F151" s="65"/>
      <c r="G151" s="67"/>
    </row>
    <row r="152" ht="15.75" customHeight="1">
      <c r="B152" s="65"/>
      <c r="C152" s="65"/>
      <c r="D152" s="65"/>
      <c r="E152" s="66"/>
      <c r="F152" s="65"/>
      <c r="G152" s="67"/>
    </row>
    <row r="153" ht="15.75" customHeight="1">
      <c r="B153" s="65"/>
      <c r="C153" s="65"/>
      <c r="D153" s="65"/>
      <c r="E153" s="66"/>
      <c r="F153" s="65"/>
      <c r="G153" s="67"/>
    </row>
    <row r="154" ht="15.75" customHeight="1">
      <c r="B154" s="65"/>
      <c r="C154" s="65"/>
      <c r="D154" s="65"/>
      <c r="E154" s="66"/>
      <c r="F154" s="65"/>
      <c r="G154" s="67"/>
    </row>
    <row r="155" ht="15.75" customHeight="1">
      <c r="B155" s="65"/>
      <c r="C155" s="65"/>
      <c r="D155" s="65"/>
      <c r="E155" s="66"/>
      <c r="F155" s="65"/>
      <c r="G155" s="67"/>
    </row>
    <row r="156" ht="15.75" customHeight="1">
      <c r="B156" s="65"/>
      <c r="C156" s="65"/>
      <c r="D156" s="65"/>
      <c r="E156" s="66"/>
      <c r="F156" s="65"/>
      <c r="G156" s="67"/>
    </row>
    <row r="157" ht="15.75" customHeight="1">
      <c r="B157" s="65"/>
      <c r="C157" s="65"/>
      <c r="D157" s="65"/>
      <c r="E157" s="66"/>
      <c r="F157" s="65"/>
      <c r="G157" s="67"/>
    </row>
    <row r="158" ht="15.75" customHeight="1">
      <c r="B158" s="65"/>
      <c r="C158" s="65"/>
      <c r="D158" s="65"/>
      <c r="E158" s="66"/>
      <c r="F158" s="65"/>
      <c r="G158" s="67"/>
    </row>
    <row r="159" ht="15.75" customHeight="1">
      <c r="B159" s="65"/>
      <c r="C159" s="65"/>
      <c r="D159" s="65"/>
      <c r="E159" s="66"/>
      <c r="F159" s="65"/>
      <c r="G159" s="67"/>
    </row>
    <row r="160" ht="15.75" customHeight="1">
      <c r="B160" s="65"/>
      <c r="C160" s="65"/>
      <c r="D160" s="65"/>
      <c r="E160" s="66"/>
      <c r="F160" s="65"/>
      <c r="G160" s="67"/>
    </row>
    <row r="161" ht="15.75" customHeight="1">
      <c r="B161" s="65"/>
      <c r="C161" s="65"/>
      <c r="D161" s="65"/>
      <c r="E161" s="66"/>
      <c r="F161" s="65"/>
      <c r="G161" s="67"/>
    </row>
    <row r="162" ht="15.75" customHeight="1">
      <c r="B162" s="65"/>
      <c r="C162" s="65"/>
      <c r="D162" s="65"/>
      <c r="E162" s="66"/>
      <c r="F162" s="65"/>
      <c r="G162" s="67"/>
    </row>
    <row r="163" ht="15.75" customHeight="1">
      <c r="B163" s="65"/>
      <c r="C163" s="65"/>
      <c r="D163" s="65"/>
      <c r="E163" s="66"/>
      <c r="F163" s="65"/>
      <c r="G163" s="67"/>
    </row>
    <row r="164" ht="15.75" customHeight="1">
      <c r="B164" s="65"/>
      <c r="C164" s="65"/>
      <c r="D164" s="65"/>
      <c r="E164" s="66"/>
      <c r="F164" s="65"/>
      <c r="G164" s="67"/>
    </row>
    <row r="165" ht="15.75" customHeight="1">
      <c r="B165" s="65"/>
      <c r="C165" s="65"/>
      <c r="D165" s="65"/>
      <c r="E165" s="66"/>
      <c r="F165" s="65"/>
      <c r="G165" s="67"/>
    </row>
    <row r="166" ht="15.75" customHeight="1">
      <c r="B166" s="65"/>
      <c r="C166" s="65"/>
      <c r="D166" s="65"/>
      <c r="E166" s="66"/>
      <c r="F166" s="65"/>
      <c r="G166" s="67"/>
    </row>
    <row r="167" ht="15.75" customHeight="1">
      <c r="B167" s="65"/>
      <c r="C167" s="65"/>
      <c r="D167" s="65"/>
      <c r="E167" s="66"/>
      <c r="F167" s="65"/>
      <c r="G167" s="67"/>
    </row>
    <row r="168" ht="15.75" customHeight="1">
      <c r="B168" s="65"/>
      <c r="C168" s="65"/>
      <c r="D168" s="65"/>
      <c r="E168" s="66"/>
      <c r="F168" s="65"/>
      <c r="G168" s="67"/>
    </row>
    <row r="169" ht="15.75" customHeight="1">
      <c r="B169" s="65"/>
      <c r="C169" s="65"/>
      <c r="D169" s="65"/>
      <c r="E169" s="66"/>
      <c r="F169" s="65"/>
      <c r="G169" s="67"/>
    </row>
    <row r="170" ht="15.75" customHeight="1">
      <c r="B170" s="65"/>
      <c r="C170" s="65"/>
      <c r="D170" s="65"/>
      <c r="E170" s="66"/>
      <c r="F170" s="65"/>
      <c r="G170" s="67"/>
    </row>
    <row r="171" ht="15.75" customHeight="1">
      <c r="B171" s="65"/>
      <c r="C171" s="65"/>
      <c r="D171" s="65"/>
      <c r="E171" s="66"/>
      <c r="F171" s="65"/>
      <c r="G171" s="67"/>
    </row>
    <row r="172" ht="15.75" customHeight="1">
      <c r="B172" s="65"/>
      <c r="C172" s="65"/>
      <c r="D172" s="65"/>
      <c r="E172" s="66"/>
      <c r="F172" s="65"/>
      <c r="G172" s="67"/>
    </row>
    <row r="173" ht="15.75" customHeight="1">
      <c r="B173" s="65"/>
      <c r="C173" s="65"/>
      <c r="D173" s="65"/>
      <c r="E173" s="66"/>
      <c r="F173" s="65"/>
      <c r="G173" s="67"/>
    </row>
    <row r="174" ht="15.75" customHeight="1">
      <c r="B174" s="65"/>
      <c r="C174" s="65"/>
      <c r="D174" s="65"/>
      <c r="E174" s="66"/>
      <c r="F174" s="65"/>
      <c r="G174" s="67"/>
    </row>
    <row r="175" ht="15.75" customHeight="1">
      <c r="B175" s="65"/>
      <c r="C175" s="65"/>
      <c r="D175" s="65"/>
      <c r="E175" s="66"/>
      <c r="F175" s="65"/>
      <c r="G175" s="67"/>
    </row>
    <row r="176" ht="15.75" customHeight="1">
      <c r="B176" s="65"/>
      <c r="C176" s="65"/>
      <c r="D176" s="65"/>
      <c r="E176" s="66"/>
      <c r="F176" s="65"/>
      <c r="G176" s="67"/>
    </row>
    <row r="177" ht="15.75" customHeight="1">
      <c r="B177" s="65"/>
      <c r="C177" s="65"/>
      <c r="D177" s="65"/>
      <c r="E177" s="66"/>
      <c r="F177" s="65"/>
      <c r="G177" s="67"/>
    </row>
    <row r="178" ht="15.75" customHeight="1">
      <c r="B178" s="65"/>
      <c r="C178" s="65"/>
      <c r="D178" s="65"/>
      <c r="E178" s="66"/>
      <c r="F178" s="65"/>
      <c r="G178" s="67"/>
    </row>
    <row r="179" ht="15.75" customHeight="1">
      <c r="B179" s="65"/>
      <c r="C179" s="65"/>
      <c r="D179" s="65"/>
      <c r="E179" s="66"/>
      <c r="F179" s="65"/>
      <c r="G179" s="67"/>
    </row>
    <row r="180" ht="15.75" customHeight="1">
      <c r="B180" s="65"/>
      <c r="C180" s="65"/>
      <c r="D180" s="65"/>
      <c r="E180" s="66"/>
      <c r="F180" s="65"/>
      <c r="G180" s="67"/>
    </row>
    <row r="181" ht="15.75" customHeight="1">
      <c r="B181" s="65"/>
      <c r="C181" s="65"/>
      <c r="D181" s="65"/>
      <c r="E181" s="66"/>
      <c r="F181" s="65"/>
      <c r="G181" s="67"/>
    </row>
    <row r="182" ht="15.75" customHeight="1">
      <c r="B182" s="65"/>
      <c r="C182" s="65"/>
      <c r="D182" s="65"/>
      <c r="E182" s="66"/>
      <c r="F182" s="65"/>
      <c r="G182" s="67"/>
    </row>
    <row r="183" ht="15.75" customHeight="1">
      <c r="B183" s="65"/>
      <c r="C183" s="65"/>
      <c r="D183" s="65"/>
      <c r="E183" s="66"/>
      <c r="F183" s="65"/>
      <c r="G183" s="67"/>
    </row>
    <row r="184" ht="15.75" customHeight="1">
      <c r="B184" s="65"/>
      <c r="C184" s="65"/>
      <c r="D184" s="65"/>
      <c r="E184" s="66"/>
      <c r="F184" s="65"/>
      <c r="G184" s="67"/>
    </row>
    <row r="185" ht="15.75" customHeight="1">
      <c r="B185" s="65"/>
      <c r="C185" s="65"/>
      <c r="D185" s="65"/>
      <c r="E185" s="66"/>
      <c r="F185" s="65"/>
      <c r="G185" s="67"/>
    </row>
    <row r="186" ht="15.75" customHeight="1">
      <c r="B186" s="65"/>
      <c r="C186" s="65"/>
      <c r="D186" s="65"/>
      <c r="E186" s="66"/>
      <c r="F186" s="65"/>
      <c r="G186" s="67"/>
    </row>
    <row r="187" ht="15.75" customHeight="1">
      <c r="B187" s="65"/>
      <c r="C187" s="65"/>
      <c r="D187" s="65"/>
      <c r="E187" s="66"/>
      <c r="F187" s="65"/>
      <c r="G187" s="67"/>
    </row>
    <row r="188" ht="15.75" customHeight="1">
      <c r="B188" s="65"/>
      <c r="C188" s="65"/>
      <c r="D188" s="65"/>
      <c r="E188" s="66"/>
      <c r="F188" s="65"/>
      <c r="G188" s="67"/>
    </row>
    <row r="189" ht="15.75" customHeight="1">
      <c r="B189" s="65"/>
      <c r="C189" s="65"/>
      <c r="D189" s="65"/>
      <c r="E189" s="66"/>
      <c r="F189" s="65"/>
      <c r="G189" s="67"/>
    </row>
    <row r="190" ht="15.75" customHeight="1">
      <c r="B190" s="65"/>
      <c r="C190" s="65"/>
      <c r="D190" s="65"/>
      <c r="E190" s="66"/>
      <c r="F190" s="65"/>
      <c r="G190" s="67"/>
    </row>
    <row r="191" ht="15.75" customHeight="1">
      <c r="B191" s="65"/>
      <c r="C191" s="65"/>
      <c r="D191" s="65"/>
      <c r="E191" s="66"/>
      <c r="F191" s="65"/>
      <c r="G191" s="67"/>
    </row>
    <row r="192" ht="15.75" customHeight="1">
      <c r="B192" s="65"/>
      <c r="C192" s="65"/>
      <c r="D192" s="65"/>
      <c r="E192" s="66"/>
      <c r="F192" s="65"/>
      <c r="G192" s="67"/>
    </row>
    <row r="193" ht="15.75" customHeight="1">
      <c r="B193" s="65"/>
      <c r="C193" s="65"/>
      <c r="D193" s="65"/>
      <c r="E193" s="66"/>
      <c r="F193" s="65"/>
      <c r="G193" s="67"/>
    </row>
    <row r="194" ht="15.75" customHeight="1">
      <c r="B194" s="65"/>
      <c r="C194" s="65"/>
      <c r="D194" s="65"/>
      <c r="E194" s="66"/>
      <c r="F194" s="65"/>
      <c r="G194" s="67"/>
    </row>
    <row r="195" ht="15.75" customHeight="1">
      <c r="B195" s="65"/>
      <c r="C195" s="65"/>
      <c r="D195" s="65"/>
      <c r="E195" s="66"/>
      <c r="F195" s="65"/>
      <c r="G195" s="67"/>
    </row>
    <row r="196" ht="15.75" customHeight="1">
      <c r="B196" s="65"/>
      <c r="C196" s="65"/>
      <c r="D196" s="65"/>
      <c r="E196" s="66"/>
      <c r="F196" s="65"/>
      <c r="G196" s="67"/>
    </row>
    <row r="197" ht="15.75" customHeight="1">
      <c r="B197" s="65"/>
      <c r="C197" s="65"/>
      <c r="D197" s="65"/>
      <c r="E197" s="66"/>
      <c r="F197" s="65"/>
      <c r="G197" s="67"/>
    </row>
    <row r="198" ht="15.75" customHeight="1">
      <c r="B198" s="65"/>
      <c r="C198" s="65"/>
      <c r="D198" s="65"/>
      <c r="E198" s="66"/>
      <c r="F198" s="65"/>
      <c r="G198" s="67"/>
    </row>
    <row r="199" ht="15.75" customHeight="1">
      <c r="B199" s="65"/>
      <c r="C199" s="65"/>
      <c r="D199" s="65"/>
      <c r="E199" s="66"/>
      <c r="F199" s="65"/>
      <c r="G199" s="67"/>
    </row>
    <row r="200" ht="15.75" customHeight="1">
      <c r="B200" s="65"/>
      <c r="C200" s="65"/>
      <c r="D200" s="65"/>
      <c r="E200" s="66"/>
      <c r="F200" s="65"/>
      <c r="G200" s="67"/>
    </row>
    <row r="201" ht="15.75" customHeight="1">
      <c r="B201" s="65"/>
      <c r="C201" s="65"/>
      <c r="D201" s="65"/>
      <c r="E201" s="66"/>
      <c r="F201" s="65"/>
      <c r="G201" s="67"/>
    </row>
    <row r="202" ht="15.75" customHeight="1">
      <c r="B202" s="65"/>
      <c r="C202" s="65"/>
      <c r="D202" s="65"/>
      <c r="E202" s="66"/>
      <c r="F202" s="65"/>
      <c r="G202" s="67"/>
    </row>
    <row r="203" ht="15.75" customHeight="1">
      <c r="B203" s="65"/>
      <c r="C203" s="65"/>
      <c r="D203" s="65"/>
      <c r="E203" s="66"/>
      <c r="F203" s="65"/>
      <c r="G203" s="67"/>
    </row>
    <row r="204" ht="15.75" customHeight="1">
      <c r="B204" s="65"/>
      <c r="C204" s="65"/>
      <c r="D204" s="65"/>
      <c r="E204" s="66"/>
      <c r="F204" s="65"/>
      <c r="G204" s="67"/>
    </row>
    <row r="205" ht="15.75" customHeight="1">
      <c r="B205" s="65"/>
      <c r="C205" s="65"/>
      <c r="D205" s="65"/>
      <c r="E205" s="66"/>
      <c r="F205" s="65"/>
      <c r="G205" s="67"/>
    </row>
    <row r="206" ht="15.75" customHeight="1">
      <c r="B206" s="65"/>
      <c r="C206" s="65"/>
      <c r="D206" s="65"/>
      <c r="E206" s="66"/>
      <c r="F206" s="65"/>
      <c r="G206" s="67"/>
    </row>
    <row r="207" ht="15.75" customHeight="1">
      <c r="B207" s="65"/>
      <c r="C207" s="65"/>
      <c r="D207" s="65"/>
      <c r="E207" s="66"/>
      <c r="F207" s="65"/>
      <c r="G207" s="67"/>
    </row>
    <row r="208" ht="15.75" customHeight="1">
      <c r="B208" s="65"/>
      <c r="C208" s="65"/>
      <c r="D208" s="65"/>
      <c r="E208" s="66"/>
      <c r="F208" s="65"/>
      <c r="G208" s="67"/>
    </row>
    <row r="209" ht="15.75" customHeight="1">
      <c r="B209" s="65"/>
      <c r="C209" s="65"/>
      <c r="D209" s="65"/>
      <c r="E209" s="66"/>
      <c r="F209" s="65"/>
      <c r="G209" s="67"/>
    </row>
    <row r="210" ht="15.75" customHeight="1">
      <c r="B210" s="65"/>
      <c r="C210" s="65"/>
      <c r="D210" s="65"/>
      <c r="E210" s="66"/>
      <c r="F210" s="65"/>
      <c r="G210" s="67"/>
    </row>
    <row r="211" ht="15.75" customHeight="1">
      <c r="B211" s="65"/>
      <c r="C211" s="65"/>
      <c r="D211" s="65"/>
      <c r="E211" s="66"/>
      <c r="F211" s="65"/>
      <c r="G211" s="67"/>
    </row>
    <row r="212" ht="15.75" customHeight="1">
      <c r="B212" s="65"/>
      <c r="C212" s="65"/>
      <c r="D212" s="65"/>
      <c r="E212" s="66"/>
      <c r="F212" s="65"/>
      <c r="G212" s="67"/>
    </row>
    <row r="213" ht="15.75" customHeight="1">
      <c r="B213" s="65"/>
      <c r="C213" s="65"/>
      <c r="D213" s="65"/>
      <c r="E213" s="66"/>
      <c r="F213" s="65"/>
      <c r="G213" s="67"/>
    </row>
    <row r="214" ht="15.75" customHeight="1">
      <c r="B214" s="65"/>
      <c r="C214" s="65"/>
      <c r="D214" s="65"/>
      <c r="E214" s="66"/>
      <c r="F214" s="65"/>
      <c r="G214" s="67"/>
    </row>
    <row r="215" ht="15.75" customHeight="1">
      <c r="B215" s="65"/>
      <c r="C215" s="65"/>
      <c r="D215" s="65"/>
      <c r="E215" s="66"/>
      <c r="F215" s="65"/>
      <c r="G215" s="67"/>
    </row>
    <row r="216" ht="15.75" customHeight="1">
      <c r="B216" s="65"/>
      <c r="C216" s="65"/>
      <c r="D216" s="65"/>
      <c r="E216" s="66"/>
      <c r="F216" s="65"/>
      <c r="G216" s="67"/>
    </row>
    <row r="217" ht="15.75" customHeight="1">
      <c r="B217" s="65"/>
      <c r="C217" s="65"/>
      <c r="D217" s="65"/>
      <c r="E217" s="66"/>
      <c r="F217" s="65"/>
      <c r="G217" s="67"/>
    </row>
    <row r="218" ht="15.75" customHeight="1">
      <c r="B218" s="65"/>
      <c r="C218" s="65"/>
      <c r="D218" s="65"/>
      <c r="E218" s="66"/>
      <c r="F218" s="65"/>
      <c r="G218" s="67"/>
    </row>
    <row r="219" ht="15.75" customHeight="1">
      <c r="B219" s="65"/>
      <c r="C219" s="65"/>
      <c r="D219" s="65"/>
      <c r="E219" s="66"/>
      <c r="F219" s="65"/>
      <c r="G219" s="67"/>
    </row>
    <row r="220" ht="15.75" customHeight="1">
      <c r="B220" s="65"/>
      <c r="C220" s="65"/>
      <c r="D220" s="65"/>
      <c r="E220" s="66"/>
      <c r="F220" s="65"/>
      <c r="G220" s="67"/>
    </row>
    <row r="221" ht="15.75" customHeight="1">
      <c r="B221" s="65"/>
      <c r="C221" s="65"/>
      <c r="D221" s="65"/>
      <c r="E221" s="66"/>
      <c r="F221" s="65"/>
      <c r="G221" s="67"/>
    </row>
    <row r="222" ht="15.75" customHeight="1">
      <c r="B222" s="65"/>
      <c r="C222" s="65"/>
      <c r="D222" s="65"/>
      <c r="E222" s="66"/>
      <c r="F222" s="65"/>
      <c r="G222" s="67"/>
    </row>
    <row r="223" ht="15.75" customHeight="1">
      <c r="B223" s="65"/>
      <c r="C223" s="65"/>
      <c r="D223" s="65"/>
      <c r="E223" s="66"/>
      <c r="F223" s="65"/>
      <c r="G223" s="67"/>
    </row>
    <row r="224" ht="15.75" customHeight="1">
      <c r="B224" s="65"/>
      <c r="C224" s="65"/>
      <c r="D224" s="65"/>
      <c r="E224" s="66"/>
      <c r="F224" s="65"/>
      <c r="G224" s="67"/>
    </row>
    <row r="225" ht="15.75" customHeight="1">
      <c r="B225" s="65"/>
      <c r="C225" s="65"/>
      <c r="D225" s="65"/>
      <c r="E225" s="66"/>
      <c r="F225" s="65"/>
      <c r="G225" s="67"/>
    </row>
    <row r="226" ht="15.75" customHeight="1">
      <c r="B226" s="65"/>
      <c r="C226" s="65"/>
      <c r="D226" s="65"/>
      <c r="E226" s="66"/>
      <c r="F226" s="65"/>
      <c r="G226" s="67"/>
    </row>
    <row r="227" ht="15.75" customHeight="1">
      <c r="B227" s="65"/>
      <c r="C227" s="65"/>
      <c r="D227" s="65"/>
      <c r="E227" s="66"/>
      <c r="F227" s="65"/>
      <c r="G227" s="67"/>
    </row>
    <row r="228" ht="15.75" customHeight="1">
      <c r="B228" s="65"/>
      <c r="C228" s="65"/>
      <c r="D228" s="65"/>
      <c r="E228" s="66"/>
      <c r="F228" s="65"/>
      <c r="G228" s="67"/>
    </row>
    <row r="229" ht="15.75" customHeight="1">
      <c r="B229" s="65"/>
      <c r="C229" s="65"/>
      <c r="D229" s="65"/>
      <c r="E229" s="66"/>
      <c r="F229" s="65"/>
      <c r="G229" s="67"/>
    </row>
    <row r="230" ht="15.75" customHeight="1">
      <c r="B230" s="65"/>
      <c r="C230" s="65"/>
      <c r="D230" s="65"/>
      <c r="E230" s="66"/>
      <c r="F230" s="65"/>
      <c r="G230" s="67"/>
    </row>
    <row r="231" ht="15.75" customHeight="1">
      <c r="B231" s="65"/>
      <c r="C231" s="65"/>
      <c r="D231" s="65"/>
      <c r="E231" s="66"/>
      <c r="F231" s="65"/>
      <c r="G231" s="67"/>
    </row>
    <row r="232" ht="15.75" customHeight="1">
      <c r="B232" s="65"/>
      <c r="C232" s="65"/>
      <c r="D232" s="65"/>
      <c r="E232" s="66"/>
      <c r="F232" s="65"/>
      <c r="G232" s="67"/>
    </row>
    <row r="233" ht="15.75" customHeight="1">
      <c r="B233" s="65"/>
      <c r="C233" s="65"/>
      <c r="D233" s="65"/>
      <c r="E233" s="66"/>
      <c r="F233" s="65"/>
      <c r="G233" s="67"/>
    </row>
    <row r="234" ht="15.75" customHeight="1">
      <c r="B234" s="65"/>
      <c r="C234" s="65"/>
      <c r="D234" s="65"/>
      <c r="E234" s="66"/>
      <c r="F234" s="65"/>
      <c r="G234" s="67"/>
    </row>
    <row r="235" ht="15.75" customHeight="1">
      <c r="B235" s="65"/>
      <c r="C235" s="65"/>
      <c r="D235" s="65"/>
      <c r="E235" s="66"/>
      <c r="F235" s="65"/>
      <c r="G235" s="67"/>
    </row>
    <row r="236" ht="15.75" customHeight="1">
      <c r="B236" s="65"/>
      <c r="C236" s="65"/>
      <c r="D236" s="65"/>
      <c r="E236" s="66"/>
      <c r="F236" s="65"/>
      <c r="G236" s="67"/>
    </row>
    <row r="237" ht="15.75" customHeight="1">
      <c r="B237" s="65"/>
      <c r="C237" s="65"/>
      <c r="D237" s="65"/>
      <c r="E237" s="66"/>
      <c r="F237" s="65"/>
      <c r="G237" s="67"/>
    </row>
    <row r="238" ht="15.75" customHeight="1">
      <c r="B238" s="65"/>
      <c r="C238" s="65"/>
      <c r="D238" s="65"/>
      <c r="E238" s="66"/>
      <c r="F238" s="65"/>
      <c r="G238" s="67"/>
    </row>
    <row r="239" ht="15.75" customHeight="1">
      <c r="B239" s="65"/>
      <c r="C239" s="65"/>
      <c r="D239" s="65"/>
      <c r="E239" s="66"/>
      <c r="F239" s="65"/>
      <c r="G239" s="67"/>
    </row>
    <row r="240" ht="15.75" customHeight="1">
      <c r="B240" s="65"/>
      <c r="C240" s="65"/>
      <c r="D240" s="65"/>
      <c r="E240" s="66"/>
      <c r="F240" s="65"/>
      <c r="G240" s="67"/>
    </row>
    <row r="241" ht="15.75" customHeight="1">
      <c r="B241" s="65"/>
      <c r="C241" s="65"/>
      <c r="D241" s="65"/>
      <c r="E241" s="66"/>
      <c r="F241" s="65"/>
      <c r="G241" s="67"/>
    </row>
    <row r="242" ht="15.75" customHeight="1">
      <c r="B242" s="65"/>
      <c r="C242" s="65"/>
      <c r="D242" s="65"/>
      <c r="E242" s="66"/>
      <c r="F242" s="65"/>
      <c r="G242" s="67"/>
    </row>
    <row r="243" ht="15.75" customHeight="1">
      <c r="B243" s="65"/>
      <c r="C243" s="65"/>
      <c r="D243" s="65"/>
      <c r="E243" s="66"/>
      <c r="F243" s="65"/>
      <c r="G243" s="67"/>
    </row>
    <row r="244" ht="15.75" customHeight="1">
      <c r="B244" s="65"/>
      <c r="C244" s="65"/>
      <c r="D244" s="65"/>
      <c r="E244" s="66"/>
      <c r="F244" s="65"/>
      <c r="G244" s="67"/>
    </row>
    <row r="245" ht="15.75" customHeight="1">
      <c r="B245" s="65"/>
      <c r="C245" s="65"/>
      <c r="D245" s="65"/>
      <c r="E245" s="66"/>
      <c r="F245" s="65"/>
      <c r="G245" s="67"/>
    </row>
    <row r="246" ht="15.75" customHeight="1">
      <c r="B246" s="65"/>
      <c r="C246" s="65"/>
      <c r="D246" s="65"/>
      <c r="E246" s="66"/>
      <c r="F246" s="65"/>
      <c r="G246" s="67"/>
    </row>
    <row r="247" ht="15.75" customHeight="1">
      <c r="B247" s="65"/>
      <c r="C247" s="65"/>
      <c r="D247" s="65"/>
      <c r="E247" s="66"/>
      <c r="F247" s="65"/>
      <c r="G247" s="67"/>
    </row>
    <row r="248" ht="15.75" customHeight="1">
      <c r="B248" s="65"/>
      <c r="C248" s="65"/>
      <c r="D248" s="65"/>
      <c r="E248" s="66"/>
      <c r="F248" s="65"/>
      <c r="G248" s="67"/>
    </row>
    <row r="249" ht="15.75" customHeight="1">
      <c r="B249" s="65"/>
      <c r="C249" s="65"/>
      <c r="D249" s="65"/>
      <c r="E249" s="66"/>
      <c r="F249" s="65"/>
      <c r="G249" s="67"/>
    </row>
    <row r="250" ht="15.75" customHeight="1">
      <c r="B250" s="65"/>
      <c r="C250" s="65"/>
      <c r="D250" s="65"/>
      <c r="E250" s="66"/>
      <c r="F250" s="65"/>
      <c r="G250" s="67"/>
    </row>
    <row r="251" ht="15.75" customHeight="1">
      <c r="B251" s="65"/>
      <c r="C251" s="65"/>
      <c r="D251" s="65"/>
      <c r="E251" s="66"/>
      <c r="F251" s="65"/>
      <c r="G251" s="67"/>
    </row>
    <row r="252" ht="15.75" customHeight="1">
      <c r="B252" s="65"/>
      <c r="C252" s="65"/>
      <c r="D252" s="65"/>
      <c r="E252" s="66"/>
      <c r="F252" s="65"/>
      <c r="G252" s="67"/>
    </row>
    <row r="253" ht="15.75" customHeight="1">
      <c r="B253" s="65"/>
      <c r="C253" s="65"/>
      <c r="D253" s="65"/>
      <c r="E253" s="66"/>
      <c r="F253" s="65"/>
      <c r="G253" s="67"/>
    </row>
    <row r="254" ht="15.75" customHeight="1">
      <c r="B254" s="65"/>
      <c r="C254" s="65"/>
      <c r="D254" s="65"/>
      <c r="E254" s="66"/>
      <c r="F254" s="65"/>
      <c r="G254" s="67"/>
    </row>
    <row r="255" ht="15.75" customHeight="1">
      <c r="B255" s="65"/>
      <c r="C255" s="65"/>
      <c r="D255" s="65"/>
      <c r="E255" s="66"/>
      <c r="F255" s="65"/>
      <c r="G255" s="67"/>
    </row>
    <row r="256" ht="15.75" customHeight="1">
      <c r="B256" s="65"/>
      <c r="C256" s="65"/>
      <c r="D256" s="65"/>
      <c r="E256" s="66"/>
      <c r="F256" s="65"/>
      <c r="G256" s="67"/>
    </row>
    <row r="257" ht="15.75" customHeight="1">
      <c r="B257" s="65"/>
      <c r="C257" s="65"/>
      <c r="D257" s="65"/>
      <c r="E257" s="66"/>
      <c r="F257" s="65"/>
      <c r="G257" s="67"/>
    </row>
    <row r="258" ht="15.75" customHeight="1">
      <c r="B258" s="65"/>
      <c r="C258" s="65"/>
      <c r="D258" s="65"/>
      <c r="E258" s="66"/>
      <c r="F258" s="65"/>
      <c r="G258" s="67"/>
    </row>
    <row r="259" ht="15.75" customHeight="1">
      <c r="B259" s="65"/>
      <c r="C259" s="65"/>
      <c r="D259" s="65"/>
      <c r="E259" s="66"/>
      <c r="F259" s="65"/>
      <c r="G259" s="67"/>
    </row>
    <row r="260" ht="15.75" customHeight="1">
      <c r="B260" s="65"/>
      <c r="C260" s="65"/>
      <c r="D260" s="65"/>
      <c r="E260" s="66"/>
      <c r="F260" s="65"/>
      <c r="G260" s="67"/>
    </row>
    <row r="261" ht="15.75" customHeight="1">
      <c r="B261" s="65"/>
      <c r="C261" s="65"/>
      <c r="D261" s="65"/>
      <c r="E261" s="66"/>
      <c r="F261" s="65"/>
      <c r="G261" s="67"/>
    </row>
    <row r="262" ht="15.75" customHeight="1">
      <c r="B262" s="65"/>
      <c r="C262" s="65"/>
      <c r="D262" s="65"/>
      <c r="E262" s="66"/>
      <c r="F262" s="65"/>
      <c r="G262" s="67"/>
    </row>
    <row r="263" ht="15.75" customHeight="1">
      <c r="B263" s="65"/>
      <c r="C263" s="65"/>
      <c r="D263" s="65"/>
      <c r="E263" s="66"/>
      <c r="F263" s="65"/>
      <c r="G263" s="67"/>
    </row>
    <row r="264" ht="15.75" customHeight="1">
      <c r="B264" s="65"/>
      <c r="C264" s="65"/>
      <c r="D264" s="65"/>
      <c r="E264" s="66"/>
      <c r="F264" s="65"/>
      <c r="G264" s="67"/>
    </row>
    <row r="265" ht="15.75" customHeight="1">
      <c r="B265" s="65"/>
      <c r="C265" s="65"/>
      <c r="D265" s="65"/>
      <c r="E265" s="66"/>
      <c r="F265" s="65"/>
      <c r="G265" s="67"/>
    </row>
    <row r="266" ht="15.75" customHeight="1">
      <c r="B266" s="65"/>
      <c r="C266" s="65"/>
      <c r="D266" s="65"/>
      <c r="E266" s="66"/>
      <c r="F266" s="65"/>
      <c r="G266" s="67"/>
    </row>
    <row r="267" ht="15.75" customHeight="1">
      <c r="B267" s="65"/>
      <c r="C267" s="65"/>
      <c r="D267" s="65"/>
      <c r="E267" s="66"/>
      <c r="F267" s="65"/>
      <c r="G267" s="67"/>
    </row>
    <row r="268" ht="15.75" customHeight="1">
      <c r="B268" s="65"/>
      <c r="C268" s="65"/>
      <c r="D268" s="65"/>
      <c r="E268" s="66"/>
      <c r="F268" s="65"/>
      <c r="G268" s="67"/>
    </row>
    <row r="269" ht="15.75" customHeight="1">
      <c r="B269" s="65"/>
      <c r="C269" s="65"/>
      <c r="D269" s="65"/>
      <c r="E269" s="66"/>
      <c r="F269" s="65"/>
      <c r="G269" s="67"/>
    </row>
    <row r="270" ht="15.75" customHeight="1">
      <c r="B270" s="65"/>
      <c r="C270" s="65"/>
      <c r="D270" s="65"/>
      <c r="E270" s="66"/>
      <c r="F270" s="65"/>
      <c r="G270" s="67"/>
    </row>
    <row r="271" ht="15.75" customHeight="1">
      <c r="B271" s="65"/>
      <c r="C271" s="65"/>
      <c r="D271" s="65"/>
      <c r="E271" s="66"/>
      <c r="F271" s="65"/>
      <c r="G271" s="67"/>
    </row>
    <row r="272" ht="15.75" customHeight="1">
      <c r="B272" s="65"/>
      <c r="C272" s="65"/>
      <c r="D272" s="65"/>
      <c r="E272" s="66"/>
      <c r="F272" s="65"/>
      <c r="G272" s="67"/>
    </row>
    <row r="273" ht="15.75" customHeight="1">
      <c r="B273" s="65"/>
      <c r="C273" s="65"/>
      <c r="D273" s="65"/>
      <c r="E273" s="66"/>
      <c r="F273" s="65"/>
      <c r="G273" s="67"/>
    </row>
    <row r="274" ht="15.75" customHeight="1">
      <c r="B274" s="65"/>
      <c r="C274" s="65"/>
      <c r="D274" s="65"/>
      <c r="E274" s="66"/>
      <c r="F274" s="65"/>
      <c r="G274" s="67"/>
    </row>
    <row r="275" ht="15.75" customHeight="1">
      <c r="B275" s="65"/>
      <c r="C275" s="65"/>
      <c r="D275" s="65"/>
      <c r="E275" s="66"/>
      <c r="F275" s="65"/>
      <c r="G275" s="67"/>
    </row>
    <row r="276" ht="15.75" customHeight="1">
      <c r="B276" s="65"/>
      <c r="C276" s="65"/>
      <c r="D276" s="65"/>
      <c r="E276" s="66"/>
      <c r="F276" s="65"/>
      <c r="G276" s="67"/>
    </row>
    <row r="277" ht="15.75" customHeight="1">
      <c r="B277" s="65"/>
      <c r="C277" s="65"/>
      <c r="D277" s="65"/>
      <c r="E277" s="66"/>
      <c r="F277" s="65"/>
      <c r="G277" s="67"/>
    </row>
    <row r="278" ht="15.75" customHeight="1">
      <c r="B278" s="65"/>
      <c r="C278" s="65"/>
      <c r="D278" s="65"/>
      <c r="E278" s="66"/>
      <c r="F278" s="65"/>
      <c r="G278" s="67"/>
    </row>
    <row r="279" ht="15.75" customHeight="1">
      <c r="B279" s="65"/>
      <c r="C279" s="65"/>
      <c r="D279" s="65"/>
      <c r="E279" s="66"/>
      <c r="F279" s="65"/>
      <c r="G279" s="67"/>
    </row>
    <row r="280" ht="15.75" customHeight="1">
      <c r="B280" s="65"/>
      <c r="C280" s="65"/>
      <c r="D280" s="65"/>
      <c r="E280" s="66"/>
      <c r="F280" s="65"/>
      <c r="G280" s="67"/>
    </row>
    <row r="281" ht="15.75" customHeight="1">
      <c r="B281" s="65"/>
      <c r="C281" s="65"/>
      <c r="D281" s="65"/>
      <c r="E281" s="66"/>
      <c r="F281" s="65"/>
      <c r="G281" s="67"/>
    </row>
    <row r="282" ht="15.75" customHeight="1">
      <c r="B282" s="65"/>
      <c r="C282" s="65"/>
      <c r="D282" s="65"/>
      <c r="E282" s="66"/>
      <c r="F282" s="65"/>
      <c r="G282" s="67"/>
    </row>
    <row r="283" ht="15.75" customHeight="1">
      <c r="B283" s="65"/>
      <c r="C283" s="65"/>
      <c r="D283" s="65"/>
      <c r="E283" s="66"/>
      <c r="F283" s="65"/>
      <c r="G283" s="67"/>
    </row>
    <row r="284" ht="15.75" customHeight="1">
      <c r="B284" s="65"/>
      <c r="C284" s="65"/>
      <c r="D284" s="65"/>
      <c r="E284" s="66"/>
      <c r="F284" s="65"/>
      <c r="G284" s="67"/>
    </row>
    <row r="285" ht="15.75" customHeight="1">
      <c r="B285" s="65"/>
      <c r="C285" s="65"/>
      <c r="D285" s="65"/>
      <c r="E285" s="66"/>
      <c r="F285" s="65"/>
      <c r="G285" s="67"/>
    </row>
    <row r="286" ht="15.75" customHeight="1">
      <c r="B286" s="65"/>
      <c r="C286" s="65"/>
      <c r="D286" s="65"/>
      <c r="E286" s="66"/>
      <c r="F286" s="65"/>
      <c r="G286" s="67"/>
    </row>
    <row r="287" ht="15.75" customHeight="1">
      <c r="B287" s="65"/>
      <c r="C287" s="65"/>
      <c r="D287" s="65"/>
      <c r="E287" s="66"/>
      <c r="F287" s="65"/>
      <c r="G287" s="67"/>
    </row>
    <row r="288" ht="15.75" customHeight="1">
      <c r="B288" s="65"/>
      <c r="C288" s="65"/>
      <c r="D288" s="65"/>
      <c r="E288" s="66"/>
      <c r="F288" s="65"/>
      <c r="G288" s="67"/>
    </row>
    <row r="289" ht="15.75" customHeight="1">
      <c r="B289" s="65"/>
      <c r="C289" s="65"/>
      <c r="D289" s="65"/>
      <c r="E289" s="66"/>
      <c r="F289" s="65"/>
      <c r="G289" s="67"/>
    </row>
    <row r="290" ht="15.75" customHeight="1">
      <c r="B290" s="65"/>
      <c r="C290" s="65"/>
      <c r="D290" s="65"/>
      <c r="E290" s="66"/>
      <c r="F290" s="65"/>
      <c r="G290" s="67"/>
    </row>
    <row r="291" ht="15.75" customHeight="1">
      <c r="B291" s="65"/>
      <c r="C291" s="65"/>
      <c r="D291" s="65"/>
      <c r="E291" s="66"/>
      <c r="F291" s="65"/>
      <c r="G291" s="67"/>
    </row>
    <row r="292" ht="15.75" customHeight="1">
      <c r="B292" s="65"/>
      <c r="C292" s="65"/>
      <c r="D292" s="65"/>
      <c r="E292" s="66"/>
      <c r="F292" s="65"/>
      <c r="G292" s="67"/>
    </row>
    <row r="293" ht="15.75" customHeight="1">
      <c r="B293" s="65"/>
      <c r="C293" s="65"/>
      <c r="D293" s="65"/>
      <c r="E293" s="66"/>
      <c r="F293" s="65"/>
      <c r="G293" s="67"/>
    </row>
    <row r="294" ht="15.75" customHeight="1">
      <c r="B294" s="65"/>
      <c r="C294" s="65"/>
      <c r="D294" s="65"/>
      <c r="E294" s="66"/>
      <c r="F294" s="65"/>
      <c r="G294" s="67"/>
    </row>
    <row r="295" ht="15.75" customHeight="1">
      <c r="B295" s="65"/>
      <c r="C295" s="65"/>
      <c r="D295" s="65"/>
      <c r="E295" s="66"/>
      <c r="F295" s="65"/>
      <c r="G295" s="67"/>
    </row>
    <row r="296" ht="15.75" customHeight="1">
      <c r="B296" s="65"/>
      <c r="C296" s="65"/>
      <c r="D296" s="65"/>
      <c r="E296" s="66"/>
      <c r="F296" s="65"/>
      <c r="G296" s="67"/>
    </row>
    <row r="297" ht="15.75" customHeight="1">
      <c r="B297" s="65"/>
      <c r="C297" s="65"/>
      <c r="D297" s="65"/>
      <c r="E297" s="66"/>
      <c r="F297" s="65"/>
      <c r="G297" s="67"/>
    </row>
    <row r="298" ht="15.75" customHeight="1">
      <c r="B298" s="65"/>
      <c r="C298" s="65"/>
      <c r="D298" s="65"/>
      <c r="E298" s="66"/>
      <c r="F298" s="65"/>
      <c r="G298" s="67"/>
    </row>
    <row r="299" ht="15.75" customHeight="1">
      <c r="B299" s="65"/>
      <c r="C299" s="65"/>
      <c r="D299" s="65"/>
      <c r="E299" s="66"/>
      <c r="F299" s="65"/>
      <c r="G299" s="67"/>
    </row>
    <row r="300" ht="15.75" customHeight="1">
      <c r="B300" s="65"/>
      <c r="C300" s="65"/>
      <c r="D300" s="65"/>
      <c r="E300" s="66"/>
      <c r="F300" s="65"/>
      <c r="G300" s="67"/>
    </row>
    <row r="301" ht="15.75" customHeight="1">
      <c r="B301" s="65"/>
      <c r="C301" s="65"/>
      <c r="D301" s="65"/>
      <c r="E301" s="66"/>
      <c r="F301" s="65"/>
      <c r="G301" s="67"/>
    </row>
    <row r="302" ht="15.75" customHeight="1">
      <c r="B302" s="65"/>
      <c r="C302" s="65"/>
      <c r="D302" s="65"/>
      <c r="E302" s="66"/>
      <c r="F302" s="65"/>
      <c r="G302" s="67"/>
    </row>
    <row r="303" ht="15.75" customHeight="1">
      <c r="B303" s="65"/>
      <c r="C303" s="65"/>
      <c r="D303" s="65"/>
      <c r="E303" s="66"/>
      <c r="F303" s="65"/>
      <c r="G303" s="67"/>
    </row>
    <row r="304" ht="15.75" customHeight="1">
      <c r="B304" s="65"/>
      <c r="C304" s="65"/>
      <c r="D304" s="65"/>
      <c r="E304" s="66"/>
      <c r="F304" s="65"/>
      <c r="G304" s="67"/>
    </row>
    <row r="305" ht="15.75" customHeight="1">
      <c r="B305" s="65"/>
      <c r="C305" s="65"/>
      <c r="D305" s="65"/>
      <c r="E305" s="66"/>
      <c r="F305" s="65"/>
      <c r="G305" s="67"/>
    </row>
    <row r="306" ht="15.75" customHeight="1">
      <c r="B306" s="65"/>
      <c r="C306" s="65"/>
      <c r="D306" s="65"/>
      <c r="E306" s="66"/>
      <c r="F306" s="65"/>
      <c r="G306" s="67"/>
    </row>
    <row r="307" ht="15.75" customHeight="1">
      <c r="B307" s="65"/>
      <c r="C307" s="65"/>
      <c r="D307" s="65"/>
      <c r="E307" s="66"/>
      <c r="F307" s="65"/>
      <c r="G307" s="67"/>
    </row>
    <row r="308" ht="15.75" customHeight="1">
      <c r="B308" s="65"/>
      <c r="C308" s="65"/>
      <c r="D308" s="65"/>
      <c r="E308" s="66"/>
      <c r="F308" s="65"/>
      <c r="G308" s="67"/>
    </row>
    <row r="309" ht="15.75" customHeight="1">
      <c r="B309" s="65"/>
      <c r="C309" s="65"/>
      <c r="D309" s="65"/>
      <c r="E309" s="66"/>
      <c r="F309" s="65"/>
      <c r="G309" s="67"/>
    </row>
    <row r="310" ht="15.75" customHeight="1">
      <c r="B310" s="65"/>
      <c r="C310" s="65"/>
      <c r="D310" s="65"/>
      <c r="E310" s="66"/>
      <c r="F310" s="65"/>
      <c r="G310" s="67"/>
    </row>
    <row r="311" ht="15.75" customHeight="1">
      <c r="B311" s="65"/>
      <c r="C311" s="65"/>
      <c r="D311" s="65"/>
      <c r="E311" s="66"/>
      <c r="F311" s="65"/>
      <c r="G311" s="67"/>
    </row>
    <row r="312" ht="15.75" customHeight="1">
      <c r="B312" s="65"/>
      <c r="C312" s="65"/>
      <c r="D312" s="65"/>
      <c r="E312" s="66"/>
      <c r="F312" s="65"/>
      <c r="G312" s="67"/>
    </row>
    <row r="313" ht="15.75" customHeight="1">
      <c r="B313" s="65"/>
      <c r="C313" s="65"/>
      <c r="D313" s="65"/>
      <c r="E313" s="66"/>
      <c r="F313" s="65"/>
      <c r="G313" s="67"/>
    </row>
    <row r="314" ht="15.75" customHeight="1">
      <c r="B314" s="65"/>
      <c r="C314" s="65"/>
      <c r="D314" s="65"/>
      <c r="E314" s="66"/>
      <c r="F314" s="65"/>
      <c r="G314" s="67"/>
    </row>
    <row r="315" ht="15.75" customHeight="1">
      <c r="B315" s="65"/>
      <c r="C315" s="65"/>
      <c r="D315" s="65"/>
      <c r="E315" s="66"/>
      <c r="F315" s="65"/>
      <c r="G315" s="67"/>
    </row>
    <row r="316" ht="15.75" customHeight="1">
      <c r="B316" s="65"/>
      <c r="C316" s="65"/>
      <c r="D316" s="65"/>
      <c r="E316" s="66"/>
      <c r="F316" s="65"/>
      <c r="G316" s="67"/>
    </row>
    <row r="317" ht="15.75" customHeight="1">
      <c r="B317" s="65"/>
      <c r="C317" s="65"/>
      <c r="D317" s="65"/>
      <c r="E317" s="66"/>
      <c r="F317" s="65"/>
      <c r="G317" s="67"/>
    </row>
    <row r="318" ht="15.75" customHeight="1">
      <c r="B318" s="65"/>
      <c r="C318" s="65"/>
      <c r="D318" s="65"/>
      <c r="E318" s="66"/>
      <c r="F318" s="65"/>
      <c r="G318" s="67"/>
    </row>
    <row r="319" ht="15.75" customHeight="1">
      <c r="B319" s="65"/>
      <c r="C319" s="65"/>
      <c r="D319" s="65"/>
      <c r="E319" s="66"/>
      <c r="F319" s="65"/>
      <c r="G319" s="67"/>
    </row>
    <row r="320" ht="15.75" customHeight="1">
      <c r="B320" s="65"/>
      <c r="C320" s="65"/>
      <c r="D320" s="65"/>
      <c r="E320" s="66"/>
      <c r="F320" s="65"/>
      <c r="G320" s="67"/>
    </row>
    <row r="321" ht="15.75" customHeight="1">
      <c r="B321" s="65"/>
      <c r="C321" s="65"/>
      <c r="D321" s="65"/>
      <c r="E321" s="66"/>
      <c r="F321" s="65"/>
      <c r="G321" s="67"/>
    </row>
    <row r="322" ht="15.75" customHeight="1">
      <c r="B322" s="65"/>
      <c r="C322" s="65"/>
      <c r="D322" s="65"/>
      <c r="E322" s="66"/>
      <c r="F322" s="65"/>
      <c r="G322" s="67"/>
    </row>
    <row r="323" ht="15.75" customHeight="1">
      <c r="B323" s="65"/>
      <c r="C323" s="65"/>
      <c r="D323" s="65"/>
      <c r="E323" s="66"/>
      <c r="F323" s="65"/>
      <c r="G323" s="67"/>
    </row>
    <row r="324" ht="15.75" customHeight="1">
      <c r="B324" s="65"/>
      <c r="C324" s="65"/>
      <c r="D324" s="65"/>
      <c r="E324" s="66"/>
      <c r="F324" s="65"/>
      <c r="G324" s="67"/>
    </row>
    <row r="325" ht="15.75" customHeight="1">
      <c r="B325" s="65"/>
      <c r="C325" s="65"/>
      <c r="D325" s="65"/>
      <c r="E325" s="66"/>
      <c r="F325" s="65"/>
      <c r="G325" s="67"/>
    </row>
    <row r="326" ht="15.75" customHeight="1">
      <c r="B326" s="65"/>
      <c r="C326" s="65"/>
      <c r="D326" s="65"/>
      <c r="E326" s="66"/>
      <c r="F326" s="65"/>
      <c r="G326" s="67"/>
    </row>
    <row r="327" ht="15.75" customHeight="1">
      <c r="B327" s="65"/>
      <c r="C327" s="65"/>
      <c r="D327" s="65"/>
      <c r="E327" s="66"/>
      <c r="F327" s="65"/>
      <c r="G327" s="67"/>
    </row>
    <row r="328" ht="15.75" customHeight="1">
      <c r="B328" s="65"/>
      <c r="C328" s="65"/>
      <c r="D328" s="65"/>
      <c r="E328" s="66"/>
      <c r="F328" s="65"/>
      <c r="G328" s="67"/>
    </row>
    <row r="329" ht="15.75" customHeight="1">
      <c r="B329" s="65"/>
      <c r="C329" s="65"/>
      <c r="D329" s="65"/>
      <c r="E329" s="66"/>
      <c r="F329" s="65"/>
      <c r="G329" s="67"/>
    </row>
    <row r="330" ht="15.75" customHeight="1">
      <c r="B330" s="65"/>
      <c r="C330" s="65"/>
      <c r="D330" s="65"/>
      <c r="E330" s="66"/>
      <c r="F330" s="65"/>
      <c r="G330" s="67"/>
    </row>
    <row r="331" ht="15.75" customHeight="1">
      <c r="B331" s="65"/>
      <c r="C331" s="65"/>
      <c r="D331" s="65"/>
      <c r="E331" s="66"/>
      <c r="F331" s="65"/>
      <c r="G331" s="67"/>
    </row>
    <row r="332" ht="15.75" customHeight="1">
      <c r="B332" s="65"/>
      <c r="C332" s="65"/>
      <c r="D332" s="65"/>
      <c r="E332" s="66"/>
      <c r="F332" s="65"/>
      <c r="G332" s="67"/>
    </row>
    <row r="333" ht="15.75" customHeight="1">
      <c r="B333" s="65"/>
      <c r="C333" s="65"/>
      <c r="D333" s="65"/>
      <c r="E333" s="66"/>
      <c r="F333" s="65"/>
      <c r="G333" s="67"/>
    </row>
    <row r="334" ht="15.75" customHeight="1">
      <c r="B334" s="65"/>
      <c r="C334" s="65"/>
      <c r="D334" s="65"/>
      <c r="E334" s="66"/>
      <c r="F334" s="65"/>
      <c r="G334" s="67"/>
    </row>
    <row r="335" ht="15.75" customHeight="1">
      <c r="B335" s="65"/>
      <c r="C335" s="65"/>
      <c r="D335" s="65"/>
      <c r="E335" s="66"/>
      <c r="F335" s="65"/>
      <c r="G335" s="67"/>
    </row>
    <row r="336" ht="15.75" customHeight="1">
      <c r="B336" s="65"/>
      <c r="C336" s="65"/>
      <c r="D336" s="65"/>
      <c r="E336" s="66"/>
      <c r="F336" s="65"/>
      <c r="G336" s="67"/>
    </row>
    <row r="337" ht="15.75" customHeight="1">
      <c r="B337" s="65"/>
      <c r="C337" s="65"/>
      <c r="D337" s="65"/>
      <c r="E337" s="66"/>
      <c r="F337" s="65"/>
      <c r="G337" s="67"/>
    </row>
    <row r="338" ht="15.75" customHeight="1">
      <c r="B338" s="65"/>
      <c r="C338" s="65"/>
      <c r="D338" s="65"/>
      <c r="E338" s="66"/>
      <c r="F338" s="65"/>
      <c r="G338" s="67"/>
    </row>
    <row r="339" ht="15.75" customHeight="1">
      <c r="B339" s="65"/>
      <c r="C339" s="65"/>
      <c r="D339" s="65"/>
      <c r="E339" s="66"/>
      <c r="F339" s="65"/>
      <c r="G339" s="67"/>
    </row>
    <row r="340" ht="15.75" customHeight="1">
      <c r="B340" s="65"/>
      <c r="C340" s="65"/>
      <c r="D340" s="65"/>
      <c r="E340" s="66"/>
      <c r="F340" s="65"/>
      <c r="G340" s="67"/>
    </row>
    <row r="341" ht="15.75" customHeight="1">
      <c r="B341" s="65"/>
      <c r="C341" s="65"/>
      <c r="D341" s="65"/>
      <c r="E341" s="66"/>
      <c r="F341" s="65"/>
      <c r="G341" s="67"/>
    </row>
    <row r="342" ht="15.75" customHeight="1">
      <c r="B342" s="65"/>
      <c r="C342" s="65"/>
      <c r="D342" s="65"/>
      <c r="E342" s="66"/>
      <c r="F342" s="65"/>
      <c r="G342" s="67"/>
    </row>
    <row r="343" ht="15.75" customHeight="1">
      <c r="B343" s="65"/>
      <c r="C343" s="65"/>
      <c r="D343" s="65"/>
      <c r="E343" s="66"/>
      <c r="F343" s="65"/>
      <c r="G343" s="67"/>
    </row>
    <row r="344" ht="15.75" customHeight="1">
      <c r="B344" s="65"/>
      <c r="C344" s="65"/>
      <c r="D344" s="65"/>
      <c r="E344" s="66"/>
      <c r="F344" s="65"/>
      <c r="G344" s="67"/>
    </row>
    <row r="345" ht="15.75" customHeight="1">
      <c r="B345" s="65"/>
      <c r="C345" s="65"/>
      <c r="D345" s="65"/>
      <c r="E345" s="66"/>
      <c r="F345" s="65"/>
      <c r="G345" s="67"/>
    </row>
    <row r="346" ht="15.75" customHeight="1">
      <c r="B346" s="65"/>
      <c r="C346" s="65"/>
      <c r="D346" s="65"/>
      <c r="E346" s="66"/>
      <c r="F346" s="65"/>
      <c r="G346" s="67"/>
    </row>
    <row r="347" ht="15.75" customHeight="1">
      <c r="B347" s="65"/>
      <c r="C347" s="65"/>
      <c r="D347" s="65"/>
      <c r="E347" s="66"/>
      <c r="F347" s="65"/>
      <c r="G347" s="67"/>
    </row>
    <row r="348" ht="15.75" customHeight="1">
      <c r="B348" s="65"/>
      <c r="C348" s="65"/>
      <c r="D348" s="65"/>
      <c r="E348" s="66"/>
      <c r="F348" s="65"/>
      <c r="G348" s="67"/>
    </row>
    <row r="349" ht="15.75" customHeight="1">
      <c r="B349" s="65"/>
      <c r="C349" s="65"/>
      <c r="D349" s="65"/>
      <c r="E349" s="66"/>
      <c r="F349" s="65"/>
      <c r="G349" s="67"/>
    </row>
    <row r="350" ht="15.75" customHeight="1">
      <c r="B350" s="65"/>
      <c r="C350" s="65"/>
      <c r="D350" s="65"/>
      <c r="E350" s="66"/>
      <c r="F350" s="65"/>
      <c r="G350" s="67"/>
    </row>
    <row r="351" ht="15.75" customHeight="1">
      <c r="B351" s="65"/>
      <c r="C351" s="65"/>
      <c r="D351" s="65"/>
      <c r="E351" s="66"/>
      <c r="F351" s="65"/>
      <c r="G351" s="67"/>
    </row>
    <row r="352" ht="15.75" customHeight="1">
      <c r="B352" s="65"/>
      <c r="C352" s="65"/>
      <c r="D352" s="65"/>
      <c r="E352" s="66"/>
      <c r="F352" s="65"/>
      <c r="G352" s="67"/>
    </row>
    <row r="353" ht="15.75" customHeight="1">
      <c r="B353" s="65"/>
      <c r="C353" s="65"/>
      <c r="D353" s="65"/>
      <c r="E353" s="66"/>
      <c r="F353" s="65"/>
      <c r="G353" s="67"/>
    </row>
    <row r="354" ht="15.75" customHeight="1">
      <c r="B354" s="65"/>
      <c r="C354" s="65"/>
      <c r="D354" s="65"/>
      <c r="E354" s="66"/>
      <c r="F354" s="65"/>
      <c r="G354" s="67"/>
    </row>
    <row r="355" ht="15.75" customHeight="1">
      <c r="B355" s="65"/>
      <c r="C355" s="65"/>
      <c r="D355" s="65"/>
      <c r="E355" s="66"/>
      <c r="F355" s="65"/>
      <c r="G355" s="67"/>
    </row>
    <row r="356" ht="15.75" customHeight="1">
      <c r="B356" s="65"/>
      <c r="C356" s="65"/>
      <c r="D356" s="65"/>
      <c r="E356" s="66"/>
      <c r="F356" s="65"/>
      <c r="G356" s="67"/>
    </row>
    <row r="357" ht="15.75" customHeight="1">
      <c r="B357" s="65"/>
      <c r="C357" s="65"/>
      <c r="D357" s="65"/>
      <c r="E357" s="66"/>
      <c r="F357" s="65"/>
      <c r="G357" s="67"/>
    </row>
    <row r="358" ht="15.75" customHeight="1">
      <c r="B358" s="65"/>
      <c r="C358" s="65"/>
      <c r="D358" s="65"/>
      <c r="E358" s="66"/>
      <c r="F358" s="65"/>
      <c r="G358" s="67"/>
    </row>
    <row r="359" ht="15.75" customHeight="1">
      <c r="B359" s="65"/>
      <c r="C359" s="65"/>
      <c r="D359" s="65"/>
      <c r="E359" s="66"/>
      <c r="F359" s="65"/>
      <c r="G359" s="67"/>
    </row>
    <row r="360" ht="15.75" customHeight="1">
      <c r="B360" s="65"/>
      <c r="C360" s="65"/>
      <c r="D360" s="65"/>
      <c r="E360" s="66"/>
      <c r="F360" s="65"/>
      <c r="G360" s="67"/>
    </row>
    <row r="361" ht="15.75" customHeight="1">
      <c r="B361" s="65"/>
      <c r="C361" s="65"/>
      <c r="D361" s="65"/>
      <c r="E361" s="66"/>
      <c r="F361" s="65"/>
      <c r="G361" s="67"/>
    </row>
    <row r="362" ht="15.75" customHeight="1">
      <c r="B362" s="65"/>
      <c r="C362" s="65"/>
      <c r="D362" s="65"/>
      <c r="E362" s="66"/>
      <c r="F362" s="65"/>
      <c r="G362" s="67"/>
    </row>
    <row r="363" ht="15.75" customHeight="1">
      <c r="B363" s="65"/>
      <c r="C363" s="65"/>
      <c r="D363" s="65"/>
      <c r="E363" s="66"/>
      <c r="F363" s="65"/>
      <c r="G363" s="67"/>
    </row>
    <row r="364" ht="15.75" customHeight="1">
      <c r="B364" s="65"/>
      <c r="C364" s="65"/>
      <c r="D364" s="65"/>
      <c r="E364" s="66"/>
      <c r="F364" s="65"/>
      <c r="G364" s="67"/>
    </row>
    <row r="365" ht="15.75" customHeight="1">
      <c r="B365" s="65"/>
      <c r="C365" s="65"/>
      <c r="D365" s="65"/>
      <c r="E365" s="66"/>
      <c r="F365" s="65"/>
      <c r="G365" s="67"/>
    </row>
    <row r="366" ht="15.75" customHeight="1">
      <c r="B366" s="65"/>
      <c r="C366" s="65"/>
      <c r="D366" s="65"/>
      <c r="E366" s="66"/>
      <c r="F366" s="65"/>
      <c r="G366" s="67"/>
    </row>
    <row r="367" ht="15.75" customHeight="1">
      <c r="B367" s="65"/>
      <c r="C367" s="65"/>
      <c r="D367" s="65"/>
      <c r="E367" s="66"/>
      <c r="F367" s="65"/>
      <c r="G367" s="67"/>
    </row>
    <row r="368" ht="15.75" customHeight="1">
      <c r="B368" s="65"/>
      <c r="C368" s="65"/>
      <c r="D368" s="65"/>
      <c r="E368" s="66"/>
      <c r="F368" s="65"/>
      <c r="G368" s="67"/>
    </row>
    <row r="369" ht="15.75" customHeight="1">
      <c r="B369" s="65"/>
      <c r="C369" s="65"/>
      <c r="D369" s="65"/>
      <c r="E369" s="66"/>
      <c r="F369" s="65"/>
      <c r="G369" s="67"/>
    </row>
    <row r="370" ht="15.75" customHeight="1">
      <c r="B370" s="65"/>
      <c r="C370" s="65"/>
      <c r="D370" s="65"/>
      <c r="E370" s="66"/>
      <c r="F370" s="65"/>
      <c r="G370" s="67"/>
    </row>
    <row r="371" ht="15.75" customHeight="1">
      <c r="B371" s="65"/>
      <c r="C371" s="65"/>
      <c r="D371" s="65"/>
      <c r="E371" s="66"/>
      <c r="F371" s="65"/>
      <c r="G371" s="67"/>
    </row>
    <row r="372" ht="15.75" customHeight="1">
      <c r="B372" s="65"/>
      <c r="C372" s="65"/>
      <c r="D372" s="65"/>
      <c r="E372" s="66"/>
      <c r="F372" s="65"/>
      <c r="G372" s="67"/>
    </row>
    <row r="373" ht="15.75" customHeight="1">
      <c r="B373" s="65"/>
      <c r="C373" s="65"/>
      <c r="D373" s="65"/>
      <c r="E373" s="66"/>
      <c r="F373" s="65"/>
      <c r="G373" s="67"/>
    </row>
    <row r="374" ht="15.75" customHeight="1">
      <c r="B374" s="65"/>
      <c r="C374" s="65"/>
      <c r="D374" s="65"/>
      <c r="E374" s="66"/>
      <c r="F374" s="65"/>
      <c r="G374" s="67"/>
    </row>
    <row r="375" ht="15.75" customHeight="1">
      <c r="B375" s="65"/>
      <c r="C375" s="65"/>
      <c r="D375" s="65"/>
      <c r="E375" s="66"/>
      <c r="F375" s="65"/>
      <c r="G375" s="67"/>
    </row>
    <row r="376" ht="15.75" customHeight="1">
      <c r="B376" s="65"/>
      <c r="C376" s="65"/>
      <c r="D376" s="65"/>
      <c r="E376" s="66"/>
      <c r="F376" s="65"/>
      <c r="G376" s="67"/>
    </row>
    <row r="377" ht="15.75" customHeight="1">
      <c r="B377" s="65"/>
      <c r="C377" s="65"/>
      <c r="D377" s="65"/>
      <c r="E377" s="66"/>
      <c r="F377" s="65"/>
      <c r="G377" s="67"/>
    </row>
    <row r="378" ht="15.75" customHeight="1">
      <c r="B378" s="65"/>
      <c r="C378" s="65"/>
      <c r="D378" s="65"/>
      <c r="E378" s="66"/>
      <c r="F378" s="65"/>
      <c r="G378" s="67"/>
    </row>
    <row r="379" ht="15.75" customHeight="1">
      <c r="B379" s="65"/>
      <c r="C379" s="65"/>
      <c r="D379" s="65"/>
      <c r="E379" s="66"/>
      <c r="F379" s="65"/>
      <c r="G379" s="67"/>
    </row>
    <row r="380" ht="15.75" customHeight="1">
      <c r="B380" s="65"/>
      <c r="C380" s="65"/>
      <c r="D380" s="65"/>
      <c r="E380" s="66"/>
      <c r="F380" s="65"/>
      <c r="G380" s="67"/>
    </row>
    <row r="381" ht="15.75" customHeight="1">
      <c r="B381" s="65"/>
      <c r="C381" s="65"/>
      <c r="D381" s="65"/>
      <c r="E381" s="66"/>
      <c r="F381" s="65"/>
      <c r="G381" s="67"/>
    </row>
    <row r="382" ht="15.75" customHeight="1">
      <c r="B382" s="65"/>
      <c r="C382" s="65"/>
      <c r="D382" s="65"/>
      <c r="E382" s="66"/>
      <c r="F382" s="65"/>
      <c r="G382" s="67"/>
    </row>
    <row r="383" ht="15.75" customHeight="1">
      <c r="B383" s="65"/>
      <c r="C383" s="65"/>
      <c r="D383" s="65"/>
      <c r="E383" s="66"/>
      <c r="F383" s="65"/>
      <c r="G383" s="67"/>
    </row>
    <row r="384" ht="15.75" customHeight="1">
      <c r="B384" s="65"/>
      <c r="C384" s="65"/>
      <c r="D384" s="65"/>
      <c r="E384" s="66"/>
      <c r="F384" s="65"/>
      <c r="G384" s="67"/>
    </row>
    <row r="385" ht="15.75" customHeight="1">
      <c r="B385" s="65"/>
      <c r="C385" s="65"/>
      <c r="D385" s="65"/>
      <c r="E385" s="66"/>
      <c r="F385" s="65"/>
      <c r="G385" s="67"/>
    </row>
    <row r="386" ht="15.75" customHeight="1">
      <c r="B386" s="65"/>
      <c r="C386" s="65"/>
      <c r="D386" s="65"/>
      <c r="E386" s="66"/>
      <c r="F386" s="65"/>
      <c r="G386" s="67"/>
    </row>
    <row r="387" ht="15.75" customHeight="1">
      <c r="B387" s="65"/>
      <c r="C387" s="65"/>
      <c r="D387" s="65"/>
      <c r="E387" s="66"/>
      <c r="F387" s="65"/>
      <c r="G387" s="67"/>
    </row>
    <row r="388" ht="15.75" customHeight="1">
      <c r="B388" s="65"/>
      <c r="C388" s="65"/>
      <c r="D388" s="65"/>
      <c r="E388" s="66"/>
      <c r="F388" s="65"/>
      <c r="G388" s="67"/>
    </row>
    <row r="389" ht="15.75" customHeight="1">
      <c r="B389" s="65"/>
      <c r="C389" s="65"/>
      <c r="D389" s="65"/>
      <c r="E389" s="66"/>
      <c r="F389" s="65"/>
      <c r="G389" s="67"/>
    </row>
    <row r="390" ht="15.75" customHeight="1">
      <c r="B390" s="65"/>
      <c r="C390" s="65"/>
      <c r="D390" s="65"/>
      <c r="E390" s="66"/>
      <c r="F390" s="65"/>
      <c r="G390" s="67"/>
    </row>
    <row r="391" ht="15.75" customHeight="1">
      <c r="B391" s="65"/>
      <c r="C391" s="65"/>
      <c r="D391" s="65"/>
      <c r="E391" s="66"/>
      <c r="F391" s="65"/>
      <c r="G391" s="67"/>
    </row>
    <row r="392" ht="15.75" customHeight="1">
      <c r="B392" s="65"/>
      <c r="C392" s="65"/>
      <c r="D392" s="65"/>
      <c r="E392" s="66"/>
      <c r="F392" s="65"/>
      <c r="G392" s="67"/>
    </row>
    <row r="393" ht="15.75" customHeight="1">
      <c r="B393" s="65"/>
      <c r="C393" s="65"/>
      <c r="D393" s="65"/>
      <c r="E393" s="66"/>
      <c r="F393" s="65"/>
      <c r="G393" s="67"/>
    </row>
    <row r="394" ht="15.75" customHeight="1">
      <c r="B394" s="65"/>
      <c r="C394" s="65"/>
      <c r="D394" s="65"/>
      <c r="E394" s="66"/>
      <c r="F394" s="65"/>
      <c r="G394" s="67"/>
    </row>
    <row r="395" ht="15.75" customHeight="1">
      <c r="B395" s="65"/>
      <c r="C395" s="65"/>
      <c r="D395" s="65"/>
      <c r="E395" s="66"/>
      <c r="F395" s="65"/>
      <c r="G395" s="67"/>
    </row>
    <row r="396" ht="15.75" customHeight="1">
      <c r="B396" s="65"/>
      <c r="C396" s="65"/>
      <c r="D396" s="65"/>
      <c r="E396" s="66"/>
      <c r="F396" s="65"/>
      <c r="G396" s="67"/>
    </row>
    <row r="397" ht="15.75" customHeight="1">
      <c r="B397" s="65"/>
      <c r="C397" s="65"/>
      <c r="D397" s="65"/>
      <c r="E397" s="66"/>
      <c r="F397" s="65"/>
      <c r="G397" s="67"/>
    </row>
    <row r="398" ht="15.75" customHeight="1">
      <c r="B398" s="65"/>
      <c r="C398" s="65"/>
      <c r="D398" s="65"/>
      <c r="E398" s="66"/>
      <c r="F398" s="65"/>
      <c r="G398" s="67"/>
    </row>
    <row r="399" ht="15.75" customHeight="1">
      <c r="B399" s="65"/>
      <c r="C399" s="65"/>
      <c r="D399" s="65"/>
      <c r="E399" s="66"/>
      <c r="F399" s="65"/>
      <c r="G399" s="67"/>
    </row>
    <row r="400" ht="15.75" customHeight="1">
      <c r="B400" s="65"/>
      <c r="C400" s="65"/>
      <c r="D400" s="65"/>
      <c r="E400" s="66"/>
      <c r="F400" s="65"/>
      <c r="G400" s="67"/>
    </row>
    <row r="401" ht="15.75" customHeight="1">
      <c r="B401" s="65"/>
      <c r="C401" s="65"/>
      <c r="D401" s="65"/>
      <c r="E401" s="66"/>
      <c r="F401" s="65"/>
      <c r="G401" s="67"/>
    </row>
    <row r="402" ht="15.75" customHeight="1">
      <c r="B402" s="65"/>
      <c r="C402" s="65"/>
      <c r="D402" s="65"/>
      <c r="E402" s="66"/>
      <c r="F402" s="65"/>
      <c r="G402" s="67"/>
    </row>
    <row r="403" ht="15.75" customHeight="1">
      <c r="B403" s="65"/>
      <c r="C403" s="65"/>
      <c r="D403" s="65"/>
      <c r="E403" s="66"/>
      <c r="F403" s="65"/>
      <c r="G403" s="67"/>
    </row>
    <row r="404" ht="15.75" customHeight="1">
      <c r="B404" s="65"/>
      <c r="C404" s="65"/>
      <c r="D404" s="65"/>
      <c r="E404" s="66"/>
      <c r="F404" s="65"/>
      <c r="G404" s="67"/>
    </row>
    <row r="405" ht="15.75" customHeight="1">
      <c r="B405" s="65"/>
      <c r="C405" s="65"/>
      <c r="D405" s="65"/>
      <c r="E405" s="66"/>
      <c r="F405" s="65"/>
      <c r="G405" s="67"/>
    </row>
    <row r="406" ht="15.75" customHeight="1">
      <c r="B406" s="65"/>
      <c r="C406" s="65"/>
      <c r="D406" s="65"/>
      <c r="E406" s="66"/>
      <c r="F406" s="65"/>
      <c r="G406" s="67"/>
    </row>
    <row r="407" ht="15.75" customHeight="1">
      <c r="B407" s="65"/>
      <c r="C407" s="65"/>
      <c r="D407" s="65"/>
      <c r="E407" s="66"/>
      <c r="F407" s="65"/>
      <c r="G407" s="67"/>
    </row>
    <row r="408" ht="15.75" customHeight="1">
      <c r="B408" s="65"/>
      <c r="C408" s="65"/>
      <c r="D408" s="65"/>
      <c r="E408" s="66"/>
      <c r="F408" s="65"/>
      <c r="G408" s="67"/>
    </row>
    <row r="409" ht="15.75" customHeight="1">
      <c r="B409" s="65"/>
      <c r="C409" s="65"/>
      <c r="D409" s="65"/>
      <c r="E409" s="66"/>
      <c r="F409" s="65"/>
      <c r="G409" s="67"/>
    </row>
    <row r="410" ht="15.75" customHeight="1">
      <c r="B410" s="65"/>
      <c r="C410" s="65"/>
      <c r="D410" s="65"/>
      <c r="E410" s="66"/>
      <c r="F410" s="65"/>
      <c r="G410" s="67"/>
    </row>
    <row r="411" ht="15.75" customHeight="1">
      <c r="B411" s="65"/>
      <c r="C411" s="65"/>
      <c r="D411" s="65"/>
      <c r="E411" s="66"/>
      <c r="F411" s="65"/>
      <c r="G411" s="67"/>
    </row>
    <row r="412" ht="15.75" customHeight="1">
      <c r="B412" s="65"/>
      <c r="C412" s="65"/>
      <c r="D412" s="65"/>
      <c r="E412" s="66"/>
      <c r="F412" s="65"/>
      <c r="G412" s="67"/>
    </row>
    <row r="413" ht="15.75" customHeight="1">
      <c r="B413" s="65"/>
      <c r="C413" s="65"/>
      <c r="D413" s="65"/>
      <c r="E413" s="66"/>
      <c r="F413" s="65"/>
      <c r="G413" s="67"/>
    </row>
    <row r="414" ht="15.75" customHeight="1">
      <c r="B414" s="65"/>
      <c r="C414" s="65"/>
      <c r="D414" s="65"/>
      <c r="E414" s="66"/>
      <c r="F414" s="65"/>
      <c r="G414" s="67"/>
    </row>
    <row r="415" ht="15.75" customHeight="1">
      <c r="B415" s="65"/>
      <c r="C415" s="65"/>
      <c r="D415" s="65"/>
      <c r="E415" s="66"/>
      <c r="F415" s="65"/>
      <c r="G415" s="67"/>
    </row>
    <row r="416" ht="15.75" customHeight="1">
      <c r="B416" s="65"/>
      <c r="C416" s="65"/>
      <c r="D416" s="65"/>
      <c r="E416" s="66"/>
      <c r="F416" s="65"/>
      <c r="G416" s="67"/>
    </row>
    <row r="417" ht="15.75" customHeight="1">
      <c r="B417" s="65"/>
      <c r="C417" s="65"/>
      <c r="D417" s="65"/>
      <c r="E417" s="66"/>
      <c r="F417" s="65"/>
      <c r="G417" s="67"/>
    </row>
    <row r="418" ht="15.75" customHeight="1">
      <c r="B418" s="65"/>
      <c r="C418" s="65"/>
      <c r="D418" s="65"/>
      <c r="E418" s="66"/>
      <c r="F418" s="65"/>
      <c r="G418" s="67"/>
    </row>
    <row r="419" ht="15.75" customHeight="1">
      <c r="B419" s="65"/>
      <c r="C419" s="65"/>
      <c r="D419" s="65"/>
      <c r="E419" s="66"/>
      <c r="F419" s="65"/>
      <c r="G419" s="67"/>
    </row>
    <row r="420" ht="15.75" customHeight="1">
      <c r="B420" s="65"/>
      <c r="C420" s="65"/>
      <c r="D420" s="65"/>
      <c r="E420" s="66"/>
      <c r="F420" s="65"/>
      <c r="G420" s="67"/>
    </row>
    <row r="421" ht="15.75" customHeight="1">
      <c r="B421" s="65"/>
      <c r="C421" s="65"/>
      <c r="D421" s="65"/>
      <c r="E421" s="66"/>
      <c r="F421" s="65"/>
      <c r="G421" s="67"/>
    </row>
    <row r="422" ht="15.75" customHeight="1">
      <c r="B422" s="65"/>
      <c r="C422" s="65"/>
      <c r="D422" s="65"/>
      <c r="E422" s="66"/>
      <c r="F422" s="65"/>
      <c r="G422" s="67"/>
    </row>
    <row r="423" ht="15.75" customHeight="1">
      <c r="B423" s="65"/>
      <c r="C423" s="65"/>
      <c r="D423" s="65"/>
      <c r="E423" s="66"/>
      <c r="F423" s="65"/>
      <c r="G423" s="67"/>
    </row>
    <row r="424" ht="15.75" customHeight="1">
      <c r="B424" s="65"/>
      <c r="C424" s="65"/>
      <c r="D424" s="65"/>
      <c r="E424" s="66"/>
      <c r="F424" s="65"/>
      <c r="G424" s="67"/>
    </row>
    <row r="425" ht="15.75" customHeight="1">
      <c r="B425" s="65"/>
      <c r="C425" s="65"/>
      <c r="D425" s="65"/>
      <c r="E425" s="66"/>
      <c r="F425" s="65"/>
      <c r="G425" s="67"/>
    </row>
    <row r="426" ht="15.75" customHeight="1">
      <c r="B426" s="65"/>
      <c r="C426" s="65"/>
      <c r="D426" s="65"/>
      <c r="E426" s="66"/>
      <c r="F426" s="65"/>
      <c r="G426" s="67"/>
    </row>
    <row r="427" ht="15.75" customHeight="1">
      <c r="B427" s="65"/>
      <c r="C427" s="65"/>
      <c r="D427" s="65"/>
      <c r="E427" s="66"/>
      <c r="F427" s="65"/>
      <c r="G427" s="67"/>
    </row>
    <row r="428" ht="15.75" customHeight="1">
      <c r="B428" s="65"/>
      <c r="C428" s="65"/>
      <c r="D428" s="65"/>
      <c r="E428" s="66"/>
      <c r="F428" s="65"/>
      <c r="G428" s="67"/>
    </row>
    <row r="429" ht="15.75" customHeight="1">
      <c r="B429" s="65"/>
      <c r="C429" s="65"/>
      <c r="D429" s="65"/>
      <c r="E429" s="66"/>
      <c r="F429" s="65"/>
      <c r="G429" s="67"/>
    </row>
    <row r="430" ht="15.75" customHeight="1">
      <c r="B430" s="65"/>
      <c r="C430" s="65"/>
      <c r="D430" s="65"/>
      <c r="E430" s="66"/>
      <c r="F430" s="65"/>
      <c r="G430" s="67"/>
    </row>
    <row r="431" ht="15.75" customHeight="1">
      <c r="B431" s="65"/>
      <c r="C431" s="65"/>
      <c r="D431" s="65"/>
      <c r="E431" s="66"/>
      <c r="F431" s="65"/>
      <c r="G431" s="67"/>
    </row>
    <row r="432" ht="15.75" customHeight="1">
      <c r="B432" s="65"/>
      <c r="C432" s="65"/>
      <c r="D432" s="65"/>
      <c r="E432" s="66"/>
      <c r="F432" s="65"/>
      <c r="G432" s="67"/>
    </row>
    <row r="433" ht="15.75" customHeight="1">
      <c r="B433" s="65"/>
      <c r="C433" s="65"/>
      <c r="D433" s="65"/>
      <c r="E433" s="66"/>
      <c r="F433" s="65"/>
      <c r="G433" s="67"/>
    </row>
    <row r="434" ht="15.75" customHeight="1">
      <c r="B434" s="65"/>
      <c r="C434" s="65"/>
      <c r="D434" s="65"/>
      <c r="E434" s="66"/>
      <c r="F434" s="65"/>
      <c r="G434" s="67"/>
    </row>
    <row r="435" ht="15.75" customHeight="1">
      <c r="B435" s="65"/>
      <c r="C435" s="65"/>
      <c r="D435" s="65"/>
      <c r="E435" s="66"/>
      <c r="F435" s="65"/>
      <c r="G435" s="67"/>
    </row>
    <row r="436" ht="15.75" customHeight="1">
      <c r="B436" s="65"/>
      <c r="C436" s="65"/>
      <c r="D436" s="65"/>
      <c r="E436" s="66"/>
      <c r="F436" s="65"/>
      <c r="G436" s="67"/>
    </row>
    <row r="437" ht="15.75" customHeight="1">
      <c r="B437" s="65"/>
      <c r="C437" s="65"/>
      <c r="D437" s="65"/>
      <c r="E437" s="66"/>
      <c r="F437" s="65"/>
      <c r="G437" s="67"/>
    </row>
    <row r="438" ht="15.75" customHeight="1">
      <c r="B438" s="65"/>
      <c r="C438" s="65"/>
      <c r="D438" s="65"/>
      <c r="E438" s="66"/>
      <c r="F438" s="65"/>
      <c r="G438" s="67"/>
    </row>
    <row r="439" ht="15.75" customHeight="1">
      <c r="B439" s="65"/>
      <c r="C439" s="65"/>
      <c r="D439" s="65"/>
      <c r="E439" s="66"/>
      <c r="F439" s="65"/>
      <c r="G439" s="67"/>
    </row>
    <row r="440" ht="15.75" customHeight="1">
      <c r="B440" s="65"/>
      <c r="C440" s="65"/>
      <c r="D440" s="65"/>
      <c r="E440" s="66"/>
      <c r="F440" s="65"/>
      <c r="G440" s="67"/>
    </row>
    <row r="441" ht="15.75" customHeight="1">
      <c r="B441" s="65"/>
      <c r="C441" s="65"/>
      <c r="D441" s="65"/>
      <c r="E441" s="66"/>
      <c r="F441" s="65"/>
      <c r="G441" s="67"/>
    </row>
    <row r="442" ht="15.75" customHeight="1">
      <c r="B442" s="65"/>
      <c r="C442" s="65"/>
      <c r="D442" s="65"/>
      <c r="E442" s="66"/>
      <c r="F442" s="65"/>
      <c r="G442" s="67"/>
    </row>
    <row r="443" ht="15.75" customHeight="1">
      <c r="B443" s="65"/>
      <c r="C443" s="65"/>
      <c r="D443" s="65"/>
      <c r="E443" s="66"/>
      <c r="F443" s="65"/>
      <c r="G443" s="67"/>
    </row>
    <row r="444" ht="15.75" customHeight="1">
      <c r="B444" s="65"/>
      <c r="C444" s="65"/>
      <c r="D444" s="65"/>
      <c r="E444" s="66"/>
      <c r="F444" s="65"/>
      <c r="G444" s="67"/>
    </row>
    <row r="445" ht="15.75" customHeight="1">
      <c r="B445" s="65"/>
      <c r="C445" s="65"/>
      <c r="D445" s="65"/>
      <c r="E445" s="66"/>
      <c r="F445" s="65"/>
      <c r="G445" s="67"/>
    </row>
    <row r="446" ht="15.75" customHeight="1">
      <c r="B446" s="65"/>
      <c r="C446" s="65"/>
      <c r="D446" s="65"/>
      <c r="E446" s="66"/>
      <c r="F446" s="65"/>
      <c r="G446" s="67"/>
    </row>
    <row r="447" ht="15.75" customHeight="1">
      <c r="B447" s="65"/>
      <c r="C447" s="65"/>
      <c r="D447" s="65"/>
      <c r="E447" s="66"/>
      <c r="F447" s="65"/>
      <c r="G447" s="67"/>
    </row>
    <row r="448" ht="15.75" customHeight="1">
      <c r="B448" s="65"/>
      <c r="C448" s="65"/>
      <c r="D448" s="65"/>
      <c r="E448" s="66"/>
      <c r="F448" s="65"/>
      <c r="G448" s="67"/>
    </row>
    <row r="449" ht="15.75" customHeight="1">
      <c r="B449" s="65"/>
      <c r="C449" s="65"/>
      <c r="D449" s="65"/>
      <c r="E449" s="66"/>
      <c r="F449" s="65"/>
      <c r="G449" s="67"/>
    </row>
    <row r="450" ht="15.75" customHeight="1">
      <c r="B450" s="65"/>
      <c r="C450" s="65"/>
      <c r="D450" s="65"/>
      <c r="E450" s="66"/>
      <c r="F450" s="65"/>
      <c r="G450" s="67"/>
    </row>
    <row r="451" ht="15.75" customHeight="1">
      <c r="B451" s="65"/>
      <c r="C451" s="65"/>
      <c r="D451" s="65"/>
      <c r="E451" s="66"/>
      <c r="F451" s="65"/>
      <c r="G451" s="67"/>
    </row>
    <row r="452" ht="15.75" customHeight="1">
      <c r="B452" s="65"/>
      <c r="C452" s="65"/>
      <c r="D452" s="65"/>
      <c r="E452" s="66"/>
      <c r="F452" s="65"/>
      <c r="G452" s="67"/>
    </row>
    <row r="453" ht="15.75" customHeight="1">
      <c r="B453" s="65"/>
      <c r="C453" s="65"/>
      <c r="D453" s="65"/>
      <c r="E453" s="66"/>
      <c r="F453" s="65"/>
      <c r="G453" s="67"/>
    </row>
    <row r="454" ht="15.75" customHeight="1">
      <c r="B454" s="65"/>
      <c r="C454" s="65"/>
      <c r="D454" s="65"/>
      <c r="E454" s="66"/>
      <c r="F454" s="65"/>
      <c r="G454" s="67"/>
    </row>
    <row r="455" ht="15.75" customHeight="1">
      <c r="B455" s="65"/>
      <c r="C455" s="65"/>
      <c r="D455" s="65"/>
      <c r="E455" s="66"/>
      <c r="F455" s="65"/>
      <c r="G455" s="67"/>
    </row>
    <row r="456" ht="15.75" customHeight="1">
      <c r="B456" s="65"/>
      <c r="C456" s="65"/>
      <c r="D456" s="65"/>
      <c r="E456" s="66"/>
      <c r="F456" s="65"/>
      <c r="G456" s="67"/>
    </row>
    <row r="457" ht="15.75" customHeight="1">
      <c r="B457" s="65"/>
      <c r="C457" s="65"/>
      <c r="D457" s="65"/>
      <c r="E457" s="66"/>
      <c r="F457" s="65"/>
      <c r="G457" s="67"/>
    </row>
    <row r="458" ht="15.75" customHeight="1">
      <c r="B458" s="65"/>
      <c r="C458" s="65"/>
      <c r="D458" s="65"/>
      <c r="E458" s="66"/>
      <c r="F458" s="65"/>
      <c r="G458" s="67"/>
    </row>
    <row r="459" ht="15.75" customHeight="1">
      <c r="B459" s="65"/>
      <c r="C459" s="65"/>
      <c r="D459" s="65"/>
      <c r="E459" s="66"/>
      <c r="F459" s="65"/>
      <c r="G459" s="67"/>
    </row>
    <row r="460" ht="15.75" customHeight="1">
      <c r="B460" s="65"/>
      <c r="C460" s="65"/>
      <c r="D460" s="65"/>
      <c r="E460" s="66"/>
      <c r="F460" s="65"/>
      <c r="G460" s="67"/>
    </row>
    <row r="461" ht="15.75" customHeight="1">
      <c r="B461" s="65"/>
      <c r="C461" s="65"/>
      <c r="D461" s="65"/>
      <c r="E461" s="66"/>
      <c r="F461" s="65"/>
      <c r="G461" s="67"/>
    </row>
    <row r="462" ht="15.75" customHeight="1">
      <c r="B462" s="65"/>
      <c r="C462" s="65"/>
      <c r="D462" s="65"/>
      <c r="E462" s="66"/>
      <c r="F462" s="65"/>
      <c r="G462" s="67"/>
    </row>
    <row r="463" ht="15.75" customHeight="1">
      <c r="B463" s="65"/>
      <c r="C463" s="65"/>
      <c r="D463" s="65"/>
      <c r="E463" s="66"/>
      <c r="F463" s="65"/>
      <c r="G463" s="67"/>
    </row>
    <row r="464" ht="15.75" customHeight="1">
      <c r="B464" s="65"/>
      <c r="C464" s="65"/>
      <c r="D464" s="65"/>
      <c r="E464" s="66"/>
      <c r="F464" s="65"/>
      <c r="G464" s="67"/>
    </row>
    <row r="465" ht="15.75" customHeight="1">
      <c r="B465" s="65"/>
      <c r="C465" s="65"/>
      <c r="D465" s="65"/>
      <c r="E465" s="66"/>
      <c r="F465" s="65"/>
      <c r="G465" s="67"/>
    </row>
    <row r="466" ht="15.75" customHeight="1">
      <c r="B466" s="65"/>
      <c r="C466" s="65"/>
      <c r="D466" s="65"/>
      <c r="E466" s="66"/>
      <c r="F466" s="65"/>
      <c r="G466" s="67"/>
    </row>
    <row r="467" ht="15.75" customHeight="1">
      <c r="B467" s="65"/>
      <c r="C467" s="65"/>
      <c r="D467" s="65"/>
      <c r="E467" s="66"/>
      <c r="F467" s="65"/>
      <c r="G467" s="67"/>
    </row>
    <row r="468" ht="15.75" customHeight="1">
      <c r="B468" s="65"/>
      <c r="C468" s="65"/>
      <c r="D468" s="65"/>
      <c r="E468" s="66"/>
      <c r="F468" s="65"/>
      <c r="G468" s="67"/>
    </row>
    <row r="469" ht="15.75" customHeight="1">
      <c r="B469" s="65"/>
      <c r="C469" s="65"/>
      <c r="D469" s="65"/>
      <c r="E469" s="66"/>
      <c r="F469" s="65"/>
      <c r="G469" s="67"/>
    </row>
    <row r="470" ht="15.75" customHeight="1">
      <c r="B470" s="65"/>
      <c r="C470" s="65"/>
      <c r="D470" s="65"/>
      <c r="E470" s="66"/>
      <c r="F470" s="65"/>
      <c r="G470" s="67"/>
    </row>
    <row r="471" ht="15.75" customHeight="1">
      <c r="B471" s="65"/>
      <c r="C471" s="65"/>
      <c r="D471" s="65"/>
      <c r="E471" s="66"/>
      <c r="F471" s="65"/>
      <c r="G471" s="67"/>
    </row>
    <row r="472" ht="15.75" customHeight="1">
      <c r="B472" s="65"/>
      <c r="C472" s="65"/>
      <c r="D472" s="65"/>
      <c r="E472" s="66"/>
      <c r="F472" s="65"/>
      <c r="G472" s="67"/>
    </row>
    <row r="473" ht="15.75" customHeight="1">
      <c r="B473" s="65"/>
      <c r="C473" s="65"/>
      <c r="D473" s="65"/>
      <c r="E473" s="66"/>
      <c r="F473" s="65"/>
      <c r="G473" s="67"/>
    </row>
    <row r="474" ht="15.75" customHeight="1">
      <c r="B474" s="65"/>
      <c r="C474" s="65"/>
      <c r="D474" s="65"/>
      <c r="E474" s="66"/>
      <c r="F474" s="65"/>
      <c r="G474" s="67"/>
    </row>
    <row r="475" ht="15.75" customHeight="1">
      <c r="B475" s="65"/>
      <c r="C475" s="65"/>
      <c r="D475" s="65"/>
      <c r="E475" s="66"/>
      <c r="F475" s="65"/>
      <c r="G475" s="67"/>
    </row>
    <row r="476" ht="15.75" customHeight="1">
      <c r="B476" s="65"/>
      <c r="C476" s="65"/>
      <c r="D476" s="65"/>
      <c r="E476" s="66"/>
      <c r="F476" s="65"/>
      <c r="G476" s="67"/>
    </row>
    <row r="477" ht="15.75" customHeight="1">
      <c r="B477" s="65"/>
      <c r="C477" s="65"/>
      <c r="D477" s="65"/>
      <c r="E477" s="66"/>
      <c r="F477" s="65"/>
      <c r="G477" s="67"/>
    </row>
    <row r="478" ht="15.75" customHeight="1">
      <c r="B478" s="65"/>
      <c r="C478" s="65"/>
      <c r="D478" s="65"/>
      <c r="E478" s="66"/>
      <c r="F478" s="65"/>
      <c r="G478" s="67"/>
    </row>
    <row r="479" ht="15.75" customHeight="1">
      <c r="B479" s="65"/>
      <c r="C479" s="65"/>
      <c r="D479" s="65"/>
      <c r="E479" s="66"/>
      <c r="F479" s="65"/>
      <c r="G479" s="67"/>
    </row>
    <row r="480" ht="15.75" customHeight="1">
      <c r="B480" s="65"/>
      <c r="C480" s="65"/>
      <c r="D480" s="65"/>
      <c r="E480" s="66"/>
      <c r="F480" s="65"/>
      <c r="G480" s="67"/>
    </row>
    <row r="481" ht="15.75" customHeight="1">
      <c r="B481" s="65"/>
      <c r="C481" s="65"/>
      <c r="D481" s="65"/>
      <c r="E481" s="66"/>
      <c r="F481" s="65"/>
      <c r="G481" s="67"/>
    </row>
    <row r="482" ht="15.75" customHeight="1">
      <c r="B482" s="65"/>
      <c r="C482" s="65"/>
      <c r="D482" s="65"/>
      <c r="E482" s="66"/>
      <c r="F482" s="65"/>
      <c r="G482" s="67"/>
    </row>
    <row r="483" ht="15.75" customHeight="1">
      <c r="B483" s="65"/>
      <c r="C483" s="65"/>
      <c r="D483" s="65"/>
      <c r="E483" s="66"/>
      <c r="F483" s="65"/>
      <c r="G483" s="67"/>
    </row>
    <row r="484" ht="15.75" customHeight="1">
      <c r="B484" s="65"/>
      <c r="C484" s="65"/>
      <c r="D484" s="65"/>
      <c r="E484" s="66"/>
      <c r="F484" s="65"/>
      <c r="G484" s="67"/>
    </row>
    <row r="485" ht="15.75" customHeight="1">
      <c r="B485" s="65"/>
      <c r="C485" s="65"/>
      <c r="D485" s="65"/>
      <c r="E485" s="66"/>
      <c r="F485" s="65"/>
      <c r="G485" s="67"/>
    </row>
    <row r="486" ht="15.75" customHeight="1">
      <c r="B486" s="65"/>
      <c r="C486" s="65"/>
      <c r="D486" s="65"/>
      <c r="E486" s="66"/>
      <c r="F486" s="65"/>
      <c r="G486" s="67"/>
    </row>
    <row r="487" ht="15.75" customHeight="1">
      <c r="B487" s="65"/>
      <c r="C487" s="65"/>
      <c r="D487" s="65"/>
      <c r="E487" s="66"/>
      <c r="F487" s="65"/>
      <c r="G487" s="67"/>
    </row>
    <row r="488" ht="15.75" customHeight="1">
      <c r="B488" s="65"/>
      <c r="C488" s="65"/>
      <c r="D488" s="65"/>
      <c r="E488" s="66"/>
      <c r="F488" s="65"/>
      <c r="G488" s="67"/>
    </row>
    <row r="489" ht="15.75" customHeight="1">
      <c r="B489" s="65"/>
      <c r="C489" s="65"/>
      <c r="D489" s="65"/>
      <c r="E489" s="66"/>
      <c r="F489" s="65"/>
      <c r="G489" s="67"/>
    </row>
    <row r="490" ht="15.75" customHeight="1">
      <c r="B490" s="65"/>
      <c r="C490" s="65"/>
      <c r="D490" s="65"/>
      <c r="E490" s="66"/>
      <c r="F490" s="65"/>
      <c r="G490" s="67"/>
    </row>
    <row r="491" ht="15.75" customHeight="1">
      <c r="B491" s="65"/>
      <c r="C491" s="65"/>
      <c r="D491" s="65"/>
      <c r="E491" s="66"/>
      <c r="F491" s="65"/>
      <c r="G491" s="67"/>
    </row>
    <row r="492" ht="15.75" customHeight="1">
      <c r="B492" s="65"/>
      <c r="C492" s="65"/>
      <c r="D492" s="65"/>
      <c r="E492" s="66"/>
      <c r="F492" s="65"/>
      <c r="G492" s="67"/>
    </row>
    <row r="493" ht="15.75" customHeight="1">
      <c r="B493" s="65"/>
      <c r="C493" s="65"/>
      <c r="D493" s="65"/>
      <c r="E493" s="66"/>
      <c r="F493" s="65"/>
      <c r="G493" s="67"/>
    </row>
    <row r="494" ht="15.75" customHeight="1">
      <c r="B494" s="65"/>
      <c r="C494" s="65"/>
      <c r="D494" s="65"/>
      <c r="E494" s="66"/>
      <c r="F494" s="65"/>
      <c r="G494" s="67"/>
    </row>
    <row r="495" ht="15.75" customHeight="1">
      <c r="B495" s="65"/>
      <c r="C495" s="65"/>
      <c r="D495" s="65"/>
      <c r="E495" s="66"/>
      <c r="F495" s="65"/>
      <c r="G495" s="67"/>
    </row>
    <row r="496" ht="15.75" customHeight="1">
      <c r="B496" s="65"/>
      <c r="C496" s="65"/>
      <c r="D496" s="65"/>
      <c r="E496" s="66"/>
      <c r="F496" s="65"/>
      <c r="G496" s="67"/>
    </row>
    <row r="497" ht="15.75" customHeight="1">
      <c r="B497" s="65"/>
      <c r="C497" s="65"/>
      <c r="D497" s="65"/>
      <c r="E497" s="66"/>
      <c r="F497" s="65"/>
      <c r="G497" s="67"/>
    </row>
    <row r="498" ht="15.75" customHeight="1">
      <c r="B498" s="65"/>
      <c r="C498" s="65"/>
      <c r="D498" s="65"/>
      <c r="E498" s="66"/>
      <c r="F498" s="65"/>
      <c r="G498" s="67"/>
    </row>
    <row r="499" ht="15.75" customHeight="1">
      <c r="B499" s="65"/>
      <c r="C499" s="65"/>
      <c r="D499" s="65"/>
      <c r="E499" s="66"/>
      <c r="F499" s="65"/>
      <c r="G499" s="67"/>
    </row>
    <row r="500" ht="15.75" customHeight="1">
      <c r="B500" s="65"/>
      <c r="C500" s="65"/>
      <c r="D500" s="65"/>
      <c r="E500" s="66"/>
      <c r="F500" s="65"/>
      <c r="G500" s="67"/>
    </row>
    <row r="501" ht="15.75" customHeight="1">
      <c r="B501" s="65"/>
      <c r="C501" s="65"/>
      <c r="D501" s="65"/>
      <c r="E501" s="66"/>
      <c r="F501" s="65"/>
      <c r="G501" s="67"/>
    </row>
    <row r="502" ht="15.75" customHeight="1">
      <c r="B502" s="65"/>
      <c r="C502" s="65"/>
      <c r="D502" s="65"/>
      <c r="E502" s="66"/>
      <c r="F502" s="65"/>
      <c r="G502" s="67"/>
    </row>
    <row r="503" ht="15.75" customHeight="1">
      <c r="B503" s="65"/>
      <c r="C503" s="65"/>
      <c r="D503" s="65"/>
      <c r="E503" s="66"/>
      <c r="F503" s="65"/>
      <c r="G503" s="67"/>
    </row>
    <row r="504" ht="15.75" customHeight="1">
      <c r="B504" s="65"/>
      <c r="C504" s="65"/>
      <c r="D504" s="65"/>
      <c r="E504" s="66"/>
      <c r="F504" s="65"/>
      <c r="G504" s="67"/>
    </row>
    <row r="505" ht="15.75" customHeight="1">
      <c r="B505" s="65"/>
      <c r="C505" s="65"/>
      <c r="D505" s="65"/>
      <c r="E505" s="66"/>
      <c r="F505" s="65"/>
      <c r="G505" s="67"/>
    </row>
    <row r="506" ht="15.75" customHeight="1">
      <c r="B506" s="65"/>
      <c r="C506" s="65"/>
      <c r="D506" s="65"/>
      <c r="E506" s="66"/>
      <c r="F506" s="65"/>
      <c r="G506" s="67"/>
    </row>
    <row r="507" ht="15.75" customHeight="1">
      <c r="B507" s="65"/>
      <c r="C507" s="65"/>
      <c r="D507" s="65"/>
      <c r="E507" s="66"/>
      <c r="F507" s="65"/>
      <c r="G507" s="67"/>
    </row>
    <row r="508" ht="15.75" customHeight="1">
      <c r="B508" s="65"/>
      <c r="C508" s="65"/>
      <c r="D508" s="65"/>
      <c r="E508" s="66"/>
      <c r="F508" s="65"/>
      <c r="G508" s="67"/>
    </row>
    <row r="509" ht="15.75" customHeight="1">
      <c r="B509" s="65"/>
      <c r="C509" s="65"/>
      <c r="D509" s="65"/>
      <c r="E509" s="66"/>
      <c r="F509" s="65"/>
      <c r="G509" s="67"/>
    </row>
    <row r="510" ht="15.75" customHeight="1">
      <c r="B510" s="65"/>
      <c r="C510" s="65"/>
      <c r="D510" s="65"/>
      <c r="E510" s="66"/>
      <c r="F510" s="65"/>
      <c r="G510" s="67"/>
    </row>
    <row r="511" ht="15.75" customHeight="1">
      <c r="B511" s="65"/>
      <c r="C511" s="65"/>
      <c r="D511" s="65"/>
      <c r="E511" s="66"/>
      <c r="F511" s="65"/>
      <c r="G511" s="67"/>
    </row>
    <row r="512" ht="15.75" customHeight="1">
      <c r="B512" s="65"/>
      <c r="C512" s="65"/>
      <c r="D512" s="65"/>
      <c r="E512" s="66"/>
      <c r="F512" s="65"/>
      <c r="G512" s="67"/>
    </row>
    <row r="513" ht="15.75" customHeight="1">
      <c r="B513" s="65"/>
      <c r="C513" s="65"/>
      <c r="D513" s="65"/>
      <c r="E513" s="66"/>
      <c r="F513" s="65"/>
      <c r="G513" s="67"/>
    </row>
    <row r="514" ht="15.75" customHeight="1">
      <c r="B514" s="65"/>
      <c r="C514" s="65"/>
      <c r="D514" s="65"/>
      <c r="E514" s="66"/>
      <c r="F514" s="65"/>
      <c r="G514" s="67"/>
    </row>
    <row r="515" ht="15.75" customHeight="1">
      <c r="B515" s="65"/>
      <c r="C515" s="65"/>
      <c r="D515" s="65"/>
      <c r="E515" s="66"/>
      <c r="F515" s="65"/>
      <c r="G515" s="67"/>
    </row>
    <row r="516" ht="15.75" customHeight="1">
      <c r="B516" s="65"/>
      <c r="C516" s="65"/>
      <c r="D516" s="65"/>
      <c r="E516" s="66"/>
      <c r="F516" s="65"/>
      <c r="G516" s="67"/>
    </row>
    <row r="517" ht="15.75" customHeight="1">
      <c r="B517" s="65"/>
      <c r="C517" s="65"/>
      <c r="D517" s="65"/>
      <c r="E517" s="66"/>
      <c r="F517" s="65"/>
      <c r="G517" s="67"/>
    </row>
    <row r="518" ht="15.75" customHeight="1">
      <c r="B518" s="65"/>
      <c r="C518" s="65"/>
      <c r="D518" s="65"/>
      <c r="E518" s="66"/>
      <c r="F518" s="65"/>
      <c r="G518" s="67"/>
    </row>
    <row r="519" ht="15.75" customHeight="1">
      <c r="B519" s="65"/>
      <c r="C519" s="65"/>
      <c r="D519" s="65"/>
      <c r="E519" s="66"/>
      <c r="F519" s="65"/>
      <c r="G519" s="67"/>
    </row>
    <row r="520" ht="15.75" customHeight="1">
      <c r="B520" s="65"/>
      <c r="C520" s="65"/>
      <c r="D520" s="65"/>
      <c r="E520" s="66"/>
      <c r="F520" s="65"/>
      <c r="G520" s="67"/>
    </row>
    <row r="521" ht="15.75" customHeight="1">
      <c r="B521" s="65"/>
      <c r="C521" s="65"/>
      <c r="D521" s="65"/>
      <c r="E521" s="66"/>
      <c r="F521" s="65"/>
      <c r="G521" s="67"/>
    </row>
    <row r="522" ht="15.75" customHeight="1">
      <c r="B522" s="65"/>
      <c r="C522" s="65"/>
      <c r="D522" s="65"/>
      <c r="E522" s="66"/>
      <c r="F522" s="65"/>
      <c r="G522" s="67"/>
    </row>
    <row r="523" ht="15.75" customHeight="1">
      <c r="B523" s="65"/>
      <c r="C523" s="65"/>
      <c r="D523" s="65"/>
      <c r="E523" s="66"/>
      <c r="F523" s="65"/>
      <c r="G523" s="67"/>
    </row>
    <row r="524" ht="15.75" customHeight="1">
      <c r="B524" s="65"/>
      <c r="C524" s="65"/>
      <c r="D524" s="65"/>
      <c r="E524" s="66"/>
      <c r="F524" s="65"/>
      <c r="G524" s="67"/>
    </row>
    <row r="525" ht="15.75" customHeight="1">
      <c r="B525" s="65"/>
      <c r="C525" s="65"/>
      <c r="D525" s="65"/>
      <c r="E525" s="66"/>
      <c r="F525" s="65"/>
      <c r="G525" s="67"/>
    </row>
    <row r="526" ht="15.75" customHeight="1">
      <c r="B526" s="65"/>
      <c r="C526" s="65"/>
      <c r="D526" s="65"/>
      <c r="E526" s="66"/>
      <c r="F526" s="65"/>
      <c r="G526" s="67"/>
    </row>
    <row r="527" ht="15.75" customHeight="1">
      <c r="B527" s="65"/>
      <c r="C527" s="65"/>
      <c r="D527" s="65"/>
      <c r="E527" s="66"/>
      <c r="F527" s="65"/>
      <c r="G527" s="67"/>
    </row>
    <row r="528" ht="15.75" customHeight="1">
      <c r="B528" s="65"/>
      <c r="C528" s="65"/>
      <c r="D528" s="65"/>
      <c r="E528" s="66"/>
      <c r="F528" s="65"/>
      <c r="G528" s="67"/>
    </row>
    <row r="529" ht="15.75" customHeight="1">
      <c r="B529" s="65"/>
      <c r="C529" s="65"/>
      <c r="D529" s="65"/>
      <c r="E529" s="66"/>
      <c r="F529" s="65"/>
      <c r="G529" s="67"/>
    </row>
    <row r="530" ht="15.75" customHeight="1">
      <c r="B530" s="65"/>
      <c r="C530" s="65"/>
      <c r="D530" s="65"/>
      <c r="E530" s="66"/>
      <c r="F530" s="65"/>
      <c r="G530" s="67"/>
    </row>
    <row r="531" ht="15.75" customHeight="1">
      <c r="B531" s="65"/>
      <c r="C531" s="65"/>
      <c r="D531" s="65"/>
      <c r="E531" s="66"/>
      <c r="F531" s="65"/>
      <c r="G531" s="67"/>
    </row>
    <row r="532" ht="15.75" customHeight="1">
      <c r="B532" s="65"/>
      <c r="C532" s="65"/>
      <c r="D532" s="65"/>
      <c r="E532" s="66"/>
      <c r="F532" s="65"/>
      <c r="G532" s="67"/>
    </row>
    <row r="533" ht="15.75" customHeight="1">
      <c r="B533" s="65"/>
      <c r="C533" s="65"/>
      <c r="D533" s="65"/>
      <c r="E533" s="66"/>
      <c r="F533" s="65"/>
      <c r="G533" s="67"/>
    </row>
    <row r="534" ht="15.75" customHeight="1">
      <c r="B534" s="65"/>
      <c r="C534" s="65"/>
      <c r="D534" s="65"/>
      <c r="E534" s="66"/>
      <c r="F534" s="65"/>
      <c r="G534" s="67"/>
    </row>
    <row r="535" ht="15.75" customHeight="1">
      <c r="B535" s="65"/>
      <c r="C535" s="65"/>
      <c r="D535" s="65"/>
      <c r="E535" s="66"/>
      <c r="F535" s="65"/>
      <c r="G535" s="67"/>
    </row>
    <row r="536" ht="15.75" customHeight="1">
      <c r="B536" s="65"/>
      <c r="C536" s="65"/>
      <c r="D536" s="65"/>
      <c r="E536" s="66"/>
      <c r="F536" s="65"/>
      <c r="G536" s="67"/>
    </row>
    <row r="537" ht="15.75" customHeight="1">
      <c r="B537" s="65"/>
      <c r="C537" s="65"/>
      <c r="D537" s="65"/>
      <c r="E537" s="66"/>
      <c r="F537" s="65"/>
      <c r="G537" s="67"/>
    </row>
    <row r="538" ht="15.75" customHeight="1">
      <c r="B538" s="65"/>
      <c r="C538" s="65"/>
      <c r="D538" s="65"/>
      <c r="E538" s="66"/>
      <c r="F538" s="65"/>
      <c r="G538" s="67"/>
    </row>
    <row r="539" ht="15.75" customHeight="1">
      <c r="B539" s="65"/>
      <c r="C539" s="65"/>
      <c r="D539" s="65"/>
      <c r="E539" s="66"/>
      <c r="F539" s="65"/>
      <c r="G539" s="67"/>
    </row>
    <row r="540" ht="15.75" customHeight="1">
      <c r="B540" s="65"/>
      <c r="C540" s="65"/>
      <c r="D540" s="65"/>
      <c r="E540" s="66"/>
      <c r="F540" s="65"/>
      <c r="G540" s="67"/>
    </row>
    <row r="541" ht="15.75" customHeight="1">
      <c r="B541" s="65"/>
      <c r="C541" s="65"/>
      <c r="D541" s="65"/>
      <c r="E541" s="66"/>
      <c r="F541" s="65"/>
      <c r="G541" s="67"/>
    </row>
    <row r="542" ht="15.75" customHeight="1">
      <c r="B542" s="65"/>
      <c r="C542" s="65"/>
      <c r="D542" s="65"/>
      <c r="E542" s="66"/>
      <c r="F542" s="65"/>
      <c r="G542" s="67"/>
    </row>
    <row r="543" ht="15.75" customHeight="1">
      <c r="B543" s="65"/>
      <c r="C543" s="65"/>
      <c r="D543" s="65"/>
      <c r="E543" s="66"/>
      <c r="F543" s="65"/>
      <c r="G543" s="67"/>
    </row>
    <row r="544" ht="15.75" customHeight="1">
      <c r="B544" s="65"/>
      <c r="C544" s="65"/>
      <c r="D544" s="65"/>
      <c r="E544" s="66"/>
      <c r="F544" s="65"/>
      <c r="G544" s="67"/>
    </row>
    <row r="545" ht="15.75" customHeight="1">
      <c r="B545" s="65"/>
      <c r="C545" s="65"/>
      <c r="D545" s="65"/>
      <c r="E545" s="66"/>
      <c r="F545" s="65"/>
      <c r="G545" s="67"/>
    </row>
    <row r="546" ht="15.75" customHeight="1">
      <c r="B546" s="65"/>
      <c r="C546" s="65"/>
      <c r="D546" s="65"/>
      <c r="E546" s="66"/>
      <c r="F546" s="65"/>
      <c r="G546" s="67"/>
    </row>
    <row r="547" ht="15.75" customHeight="1">
      <c r="B547" s="65"/>
      <c r="C547" s="65"/>
      <c r="D547" s="65"/>
      <c r="E547" s="66"/>
      <c r="F547" s="65"/>
      <c r="G547" s="67"/>
    </row>
    <row r="548" ht="15.75" customHeight="1">
      <c r="B548" s="65"/>
      <c r="C548" s="65"/>
      <c r="D548" s="65"/>
      <c r="E548" s="66"/>
      <c r="F548" s="65"/>
      <c r="G548" s="67"/>
    </row>
    <row r="549" ht="15.75" customHeight="1">
      <c r="B549" s="65"/>
      <c r="C549" s="65"/>
      <c r="D549" s="65"/>
      <c r="E549" s="66"/>
      <c r="F549" s="65"/>
      <c r="G549" s="67"/>
    </row>
    <row r="550" ht="15.75" customHeight="1">
      <c r="B550" s="65"/>
      <c r="C550" s="65"/>
      <c r="D550" s="65"/>
      <c r="E550" s="66"/>
      <c r="F550" s="65"/>
      <c r="G550" s="67"/>
    </row>
    <row r="551" ht="15.75" customHeight="1">
      <c r="B551" s="65"/>
      <c r="C551" s="65"/>
      <c r="D551" s="65"/>
      <c r="E551" s="66"/>
      <c r="F551" s="65"/>
      <c r="G551" s="67"/>
    </row>
    <row r="552" ht="15.75" customHeight="1">
      <c r="B552" s="65"/>
      <c r="C552" s="65"/>
      <c r="D552" s="65"/>
      <c r="E552" s="66"/>
      <c r="F552" s="65"/>
      <c r="G552" s="67"/>
    </row>
    <row r="553" ht="15.75" customHeight="1">
      <c r="B553" s="65"/>
      <c r="C553" s="65"/>
      <c r="D553" s="65"/>
      <c r="E553" s="66"/>
      <c r="F553" s="65"/>
      <c r="G553" s="67"/>
    </row>
    <row r="554" ht="15.75" customHeight="1">
      <c r="B554" s="65"/>
      <c r="C554" s="65"/>
      <c r="D554" s="65"/>
      <c r="E554" s="66"/>
      <c r="F554" s="65"/>
      <c r="G554" s="67"/>
    </row>
    <row r="555" ht="15.75" customHeight="1">
      <c r="B555" s="65"/>
      <c r="C555" s="65"/>
      <c r="D555" s="65"/>
      <c r="E555" s="66"/>
      <c r="F555" s="65"/>
      <c r="G555" s="67"/>
    </row>
    <row r="556" ht="15.75" customHeight="1">
      <c r="B556" s="65"/>
      <c r="C556" s="65"/>
      <c r="D556" s="65"/>
      <c r="E556" s="66"/>
      <c r="F556" s="65"/>
      <c r="G556" s="67"/>
    </row>
    <row r="557" ht="15.75" customHeight="1">
      <c r="B557" s="65"/>
      <c r="C557" s="65"/>
      <c r="D557" s="65"/>
      <c r="E557" s="66"/>
      <c r="F557" s="65"/>
      <c r="G557" s="67"/>
    </row>
    <row r="558" ht="15.75" customHeight="1">
      <c r="B558" s="65"/>
      <c r="C558" s="65"/>
      <c r="D558" s="65"/>
      <c r="E558" s="66"/>
      <c r="F558" s="65"/>
      <c r="G558" s="67"/>
    </row>
    <row r="559" ht="15.75" customHeight="1">
      <c r="B559" s="65"/>
      <c r="C559" s="65"/>
      <c r="D559" s="65"/>
      <c r="E559" s="66"/>
      <c r="F559" s="65"/>
      <c r="G559" s="67"/>
    </row>
    <row r="560" ht="15.75" customHeight="1">
      <c r="B560" s="65"/>
      <c r="C560" s="65"/>
      <c r="D560" s="65"/>
      <c r="E560" s="66"/>
      <c r="F560" s="65"/>
      <c r="G560" s="67"/>
    </row>
    <row r="561" ht="15.75" customHeight="1">
      <c r="B561" s="65"/>
      <c r="C561" s="65"/>
      <c r="D561" s="65"/>
      <c r="E561" s="66"/>
      <c r="F561" s="65"/>
      <c r="G561" s="67"/>
    </row>
    <row r="562" ht="15.75" customHeight="1">
      <c r="B562" s="65"/>
      <c r="C562" s="65"/>
      <c r="D562" s="65"/>
      <c r="E562" s="66"/>
      <c r="F562" s="65"/>
      <c r="G562" s="67"/>
    </row>
    <row r="563" ht="15.75" customHeight="1">
      <c r="B563" s="65"/>
      <c r="C563" s="65"/>
      <c r="D563" s="65"/>
      <c r="E563" s="66"/>
      <c r="F563" s="65"/>
      <c r="G563" s="67"/>
    </row>
    <row r="564" ht="15.75" customHeight="1">
      <c r="B564" s="65"/>
      <c r="C564" s="65"/>
      <c r="D564" s="65"/>
      <c r="E564" s="66"/>
      <c r="F564" s="65"/>
      <c r="G564" s="67"/>
    </row>
    <row r="565" ht="15.75" customHeight="1">
      <c r="B565" s="65"/>
      <c r="C565" s="65"/>
      <c r="D565" s="65"/>
      <c r="E565" s="66"/>
      <c r="F565" s="65"/>
      <c r="G565" s="67"/>
    </row>
    <row r="566" ht="15.75" customHeight="1">
      <c r="B566" s="65"/>
      <c r="C566" s="65"/>
      <c r="D566" s="65"/>
      <c r="E566" s="66"/>
      <c r="F566" s="65"/>
      <c r="G566" s="67"/>
    </row>
    <row r="567" ht="15.75" customHeight="1">
      <c r="B567" s="65"/>
      <c r="C567" s="65"/>
      <c r="D567" s="65"/>
      <c r="E567" s="66"/>
      <c r="F567" s="65"/>
      <c r="G567" s="67"/>
    </row>
    <row r="568" ht="15.75" customHeight="1">
      <c r="B568" s="65"/>
      <c r="C568" s="65"/>
      <c r="D568" s="65"/>
      <c r="E568" s="66"/>
      <c r="F568" s="65"/>
      <c r="G568" s="67"/>
    </row>
    <row r="569" ht="15.75" customHeight="1">
      <c r="B569" s="65"/>
      <c r="C569" s="65"/>
      <c r="D569" s="65"/>
      <c r="E569" s="66"/>
      <c r="F569" s="65"/>
      <c r="G569" s="67"/>
    </row>
    <row r="570" ht="15.75" customHeight="1">
      <c r="B570" s="65"/>
      <c r="C570" s="65"/>
      <c r="D570" s="65"/>
      <c r="E570" s="66"/>
      <c r="F570" s="65"/>
      <c r="G570" s="67"/>
    </row>
    <row r="571" ht="15.75" customHeight="1">
      <c r="B571" s="65"/>
      <c r="C571" s="65"/>
      <c r="D571" s="65"/>
      <c r="E571" s="66"/>
      <c r="F571" s="65"/>
      <c r="G571" s="67"/>
    </row>
    <row r="572" ht="15.75" customHeight="1">
      <c r="B572" s="65"/>
      <c r="C572" s="65"/>
      <c r="D572" s="65"/>
      <c r="E572" s="66"/>
      <c r="F572" s="65"/>
      <c r="G572" s="67"/>
    </row>
    <row r="573" ht="15.75" customHeight="1">
      <c r="B573" s="65"/>
      <c r="C573" s="65"/>
      <c r="D573" s="65"/>
      <c r="E573" s="66"/>
      <c r="F573" s="65"/>
      <c r="G573" s="67"/>
    </row>
    <row r="574" ht="15.75" customHeight="1">
      <c r="B574" s="65"/>
      <c r="C574" s="65"/>
      <c r="D574" s="65"/>
      <c r="E574" s="66"/>
      <c r="F574" s="65"/>
      <c r="G574" s="67"/>
    </row>
    <row r="575" ht="15.75" customHeight="1">
      <c r="B575" s="65"/>
      <c r="C575" s="65"/>
      <c r="D575" s="65"/>
      <c r="E575" s="66"/>
      <c r="F575" s="65"/>
      <c r="G575" s="67"/>
    </row>
    <row r="576" ht="15.75" customHeight="1">
      <c r="B576" s="65"/>
      <c r="C576" s="65"/>
      <c r="D576" s="65"/>
      <c r="E576" s="66"/>
      <c r="F576" s="65"/>
      <c r="G576" s="67"/>
    </row>
    <row r="577" ht="15.75" customHeight="1">
      <c r="B577" s="65"/>
      <c r="C577" s="65"/>
      <c r="D577" s="65"/>
      <c r="E577" s="66"/>
      <c r="F577" s="65"/>
      <c r="G577" s="67"/>
    </row>
    <row r="578" ht="15.75" customHeight="1">
      <c r="B578" s="65"/>
      <c r="C578" s="65"/>
      <c r="D578" s="65"/>
      <c r="E578" s="66"/>
      <c r="F578" s="65"/>
      <c r="G578" s="67"/>
    </row>
    <row r="579" ht="15.75" customHeight="1">
      <c r="B579" s="65"/>
      <c r="C579" s="65"/>
      <c r="D579" s="65"/>
      <c r="E579" s="66"/>
      <c r="F579" s="65"/>
      <c r="G579" s="67"/>
    </row>
    <row r="580" ht="15.75" customHeight="1">
      <c r="B580" s="65"/>
      <c r="C580" s="65"/>
      <c r="D580" s="65"/>
      <c r="E580" s="66"/>
      <c r="F580" s="65"/>
      <c r="G580" s="67"/>
    </row>
    <row r="581" ht="15.75" customHeight="1">
      <c r="B581" s="65"/>
      <c r="C581" s="65"/>
      <c r="D581" s="65"/>
      <c r="E581" s="66"/>
      <c r="F581" s="65"/>
      <c r="G581" s="67"/>
    </row>
    <row r="582" ht="15.75" customHeight="1">
      <c r="B582" s="65"/>
      <c r="C582" s="65"/>
      <c r="D582" s="65"/>
      <c r="E582" s="66"/>
      <c r="F582" s="65"/>
      <c r="G582" s="67"/>
    </row>
    <row r="583" ht="15.75" customHeight="1">
      <c r="B583" s="65"/>
      <c r="C583" s="65"/>
      <c r="D583" s="65"/>
      <c r="E583" s="66"/>
      <c r="F583" s="65"/>
      <c r="G583" s="67"/>
    </row>
    <row r="584" ht="15.75" customHeight="1">
      <c r="B584" s="65"/>
      <c r="C584" s="65"/>
      <c r="D584" s="65"/>
      <c r="E584" s="66"/>
      <c r="F584" s="65"/>
      <c r="G584" s="67"/>
    </row>
    <row r="585" ht="15.75" customHeight="1">
      <c r="B585" s="65"/>
      <c r="C585" s="65"/>
      <c r="D585" s="65"/>
      <c r="E585" s="66"/>
      <c r="F585" s="65"/>
      <c r="G585" s="67"/>
    </row>
    <row r="586" ht="15.75" customHeight="1">
      <c r="B586" s="65"/>
      <c r="C586" s="65"/>
      <c r="D586" s="65"/>
      <c r="E586" s="66"/>
      <c r="F586" s="65"/>
      <c r="G586" s="67"/>
    </row>
    <row r="587" ht="15.75" customHeight="1">
      <c r="B587" s="65"/>
      <c r="C587" s="65"/>
      <c r="D587" s="65"/>
      <c r="E587" s="66"/>
      <c r="F587" s="65"/>
      <c r="G587" s="67"/>
    </row>
    <row r="588" ht="15.75" customHeight="1">
      <c r="B588" s="65"/>
      <c r="C588" s="65"/>
      <c r="D588" s="65"/>
      <c r="E588" s="66"/>
      <c r="F588" s="65"/>
      <c r="G588" s="67"/>
    </row>
    <row r="589" ht="15.75" customHeight="1">
      <c r="B589" s="65"/>
      <c r="C589" s="65"/>
      <c r="D589" s="65"/>
      <c r="E589" s="66"/>
      <c r="F589" s="65"/>
      <c r="G589" s="67"/>
    </row>
    <row r="590" ht="15.75" customHeight="1">
      <c r="B590" s="65"/>
      <c r="C590" s="65"/>
      <c r="D590" s="65"/>
      <c r="E590" s="66"/>
      <c r="F590" s="65"/>
      <c r="G590" s="67"/>
    </row>
    <row r="591" ht="15.75" customHeight="1">
      <c r="B591" s="65"/>
      <c r="C591" s="65"/>
      <c r="D591" s="65"/>
      <c r="E591" s="66"/>
      <c r="F591" s="65"/>
      <c r="G591" s="67"/>
    </row>
    <row r="592" ht="15.75" customHeight="1">
      <c r="B592" s="65"/>
      <c r="C592" s="65"/>
      <c r="D592" s="65"/>
      <c r="E592" s="66"/>
      <c r="F592" s="65"/>
      <c r="G592" s="67"/>
    </row>
    <row r="593" ht="15.75" customHeight="1">
      <c r="B593" s="65"/>
      <c r="C593" s="65"/>
      <c r="D593" s="65"/>
      <c r="E593" s="66"/>
      <c r="F593" s="65"/>
      <c r="G593" s="67"/>
    </row>
    <row r="594" ht="15.75" customHeight="1">
      <c r="B594" s="65"/>
      <c r="C594" s="65"/>
      <c r="D594" s="65"/>
      <c r="E594" s="66"/>
      <c r="F594" s="65"/>
      <c r="G594" s="67"/>
    </row>
    <row r="595" ht="15.75" customHeight="1">
      <c r="B595" s="65"/>
      <c r="C595" s="65"/>
      <c r="D595" s="65"/>
      <c r="E595" s="66"/>
      <c r="F595" s="65"/>
      <c r="G595" s="67"/>
    </row>
    <row r="596" ht="15.75" customHeight="1">
      <c r="B596" s="65"/>
      <c r="C596" s="65"/>
      <c r="D596" s="65"/>
      <c r="E596" s="66"/>
      <c r="F596" s="65"/>
      <c r="G596" s="67"/>
    </row>
    <row r="597" ht="15.75" customHeight="1">
      <c r="B597" s="65"/>
      <c r="C597" s="65"/>
      <c r="D597" s="65"/>
      <c r="E597" s="66"/>
      <c r="F597" s="65"/>
      <c r="G597" s="67"/>
    </row>
    <row r="598" ht="15.75" customHeight="1">
      <c r="B598" s="65"/>
      <c r="C598" s="65"/>
      <c r="D598" s="65"/>
      <c r="E598" s="66"/>
      <c r="F598" s="65"/>
      <c r="G598" s="67"/>
    </row>
    <row r="599" ht="15.75" customHeight="1">
      <c r="B599" s="65"/>
      <c r="C599" s="65"/>
      <c r="D599" s="65"/>
      <c r="E599" s="66"/>
      <c r="F599" s="65"/>
      <c r="G599" s="67"/>
    </row>
    <row r="600" ht="15.75" customHeight="1">
      <c r="B600" s="65"/>
      <c r="C600" s="65"/>
      <c r="D600" s="65"/>
      <c r="E600" s="66"/>
      <c r="F600" s="65"/>
      <c r="G600" s="67"/>
    </row>
    <row r="601" ht="15.75" customHeight="1">
      <c r="B601" s="65"/>
      <c r="C601" s="65"/>
      <c r="D601" s="65"/>
      <c r="E601" s="66"/>
      <c r="F601" s="65"/>
      <c r="G601" s="67"/>
    </row>
    <row r="602" ht="15.75" customHeight="1">
      <c r="B602" s="65"/>
      <c r="C602" s="65"/>
      <c r="D602" s="65"/>
      <c r="E602" s="66"/>
      <c r="F602" s="65"/>
      <c r="G602" s="67"/>
    </row>
    <row r="603" ht="15.75" customHeight="1">
      <c r="B603" s="65"/>
      <c r="C603" s="65"/>
      <c r="D603" s="65"/>
      <c r="E603" s="66"/>
      <c r="F603" s="65"/>
      <c r="G603" s="67"/>
    </row>
    <row r="604" ht="15.75" customHeight="1">
      <c r="B604" s="65"/>
      <c r="C604" s="65"/>
      <c r="D604" s="65"/>
      <c r="E604" s="66"/>
      <c r="F604" s="65"/>
      <c r="G604" s="67"/>
    </row>
    <row r="605" ht="15.75" customHeight="1">
      <c r="B605" s="65"/>
      <c r="C605" s="65"/>
      <c r="D605" s="65"/>
      <c r="E605" s="66"/>
      <c r="F605" s="65"/>
      <c r="G605" s="67"/>
    </row>
    <row r="606" ht="15.75" customHeight="1">
      <c r="B606" s="65"/>
      <c r="C606" s="65"/>
      <c r="D606" s="65"/>
      <c r="E606" s="66"/>
      <c r="F606" s="65"/>
      <c r="G606" s="67"/>
    </row>
    <row r="607" ht="15.75" customHeight="1">
      <c r="B607" s="65"/>
      <c r="C607" s="65"/>
      <c r="D607" s="65"/>
      <c r="E607" s="66"/>
      <c r="F607" s="65"/>
      <c r="G607" s="67"/>
    </row>
    <row r="608" ht="15.75" customHeight="1">
      <c r="B608" s="65"/>
      <c r="C608" s="65"/>
      <c r="D608" s="65"/>
      <c r="E608" s="66"/>
      <c r="F608" s="65"/>
      <c r="G608" s="67"/>
    </row>
    <row r="609" ht="15.75" customHeight="1">
      <c r="B609" s="65"/>
      <c r="C609" s="65"/>
      <c r="D609" s="65"/>
      <c r="E609" s="66"/>
      <c r="F609" s="65"/>
      <c r="G609" s="67"/>
    </row>
    <row r="610" ht="15.75" customHeight="1">
      <c r="B610" s="65"/>
      <c r="C610" s="65"/>
      <c r="D610" s="65"/>
      <c r="E610" s="66"/>
      <c r="F610" s="65"/>
      <c r="G610" s="67"/>
    </row>
    <row r="611" ht="15.75" customHeight="1">
      <c r="B611" s="65"/>
      <c r="C611" s="65"/>
      <c r="D611" s="65"/>
      <c r="E611" s="66"/>
      <c r="F611" s="65"/>
      <c r="G611" s="67"/>
    </row>
    <row r="612" ht="15.75" customHeight="1">
      <c r="B612" s="65"/>
      <c r="C612" s="65"/>
      <c r="D612" s="65"/>
      <c r="E612" s="66"/>
      <c r="F612" s="65"/>
      <c r="G612" s="67"/>
    </row>
    <row r="613" ht="15.75" customHeight="1">
      <c r="B613" s="65"/>
      <c r="C613" s="65"/>
      <c r="D613" s="65"/>
      <c r="E613" s="66"/>
      <c r="F613" s="65"/>
      <c r="G613" s="67"/>
    </row>
    <row r="614" ht="15.75" customHeight="1">
      <c r="B614" s="65"/>
      <c r="C614" s="65"/>
      <c r="D614" s="65"/>
      <c r="E614" s="66"/>
      <c r="F614" s="65"/>
      <c r="G614" s="67"/>
    </row>
    <row r="615" ht="15.75" customHeight="1">
      <c r="B615" s="65"/>
      <c r="C615" s="65"/>
      <c r="D615" s="65"/>
      <c r="E615" s="66"/>
      <c r="F615" s="65"/>
      <c r="G615" s="67"/>
    </row>
    <row r="616" ht="15.75" customHeight="1">
      <c r="B616" s="65"/>
      <c r="C616" s="65"/>
      <c r="D616" s="65"/>
      <c r="E616" s="66"/>
      <c r="F616" s="65"/>
      <c r="G616" s="67"/>
    </row>
    <row r="617" ht="15.75" customHeight="1">
      <c r="B617" s="65"/>
      <c r="C617" s="65"/>
      <c r="D617" s="65"/>
      <c r="E617" s="66"/>
      <c r="F617" s="65"/>
      <c r="G617" s="67"/>
    </row>
    <row r="618" ht="15.75" customHeight="1">
      <c r="B618" s="65"/>
      <c r="C618" s="65"/>
      <c r="D618" s="65"/>
      <c r="E618" s="66"/>
      <c r="F618" s="65"/>
      <c r="G618" s="67"/>
    </row>
    <row r="619" ht="15.75" customHeight="1">
      <c r="B619" s="65"/>
      <c r="C619" s="65"/>
      <c r="D619" s="65"/>
      <c r="E619" s="66"/>
      <c r="F619" s="65"/>
      <c r="G619" s="67"/>
    </row>
    <row r="620" ht="15.75" customHeight="1">
      <c r="B620" s="65"/>
      <c r="C620" s="65"/>
      <c r="D620" s="65"/>
      <c r="E620" s="66"/>
      <c r="F620" s="65"/>
      <c r="G620" s="67"/>
    </row>
    <row r="621" ht="15.75" customHeight="1">
      <c r="B621" s="65"/>
      <c r="C621" s="65"/>
      <c r="D621" s="65"/>
      <c r="E621" s="66"/>
      <c r="F621" s="65"/>
      <c r="G621" s="67"/>
    </row>
    <row r="622" ht="15.75" customHeight="1">
      <c r="B622" s="65"/>
      <c r="C622" s="65"/>
      <c r="D622" s="65"/>
      <c r="E622" s="66"/>
      <c r="F622" s="65"/>
      <c r="G622" s="67"/>
    </row>
    <row r="623" ht="15.75" customHeight="1">
      <c r="B623" s="65"/>
      <c r="C623" s="65"/>
      <c r="D623" s="65"/>
      <c r="E623" s="66"/>
      <c r="F623" s="65"/>
      <c r="G623" s="67"/>
    </row>
    <row r="624" ht="15.75" customHeight="1">
      <c r="B624" s="65"/>
      <c r="C624" s="65"/>
      <c r="D624" s="65"/>
      <c r="E624" s="66"/>
      <c r="F624" s="65"/>
      <c r="G624" s="67"/>
    </row>
    <row r="625" ht="15.75" customHeight="1">
      <c r="B625" s="65"/>
      <c r="C625" s="65"/>
      <c r="D625" s="65"/>
      <c r="E625" s="66"/>
      <c r="F625" s="65"/>
      <c r="G625" s="67"/>
    </row>
    <row r="626" ht="15.75" customHeight="1">
      <c r="B626" s="65"/>
      <c r="C626" s="65"/>
      <c r="D626" s="65"/>
      <c r="E626" s="66"/>
      <c r="F626" s="65"/>
      <c r="G626" s="67"/>
    </row>
    <row r="627" ht="15.75" customHeight="1">
      <c r="B627" s="65"/>
      <c r="C627" s="65"/>
      <c r="D627" s="65"/>
      <c r="E627" s="66"/>
      <c r="F627" s="65"/>
      <c r="G627" s="67"/>
    </row>
    <row r="628" ht="15.75" customHeight="1">
      <c r="B628" s="65"/>
      <c r="C628" s="65"/>
      <c r="D628" s="65"/>
      <c r="E628" s="66"/>
      <c r="F628" s="65"/>
      <c r="G628" s="67"/>
    </row>
    <row r="629" ht="15.75" customHeight="1">
      <c r="B629" s="65"/>
      <c r="C629" s="65"/>
      <c r="D629" s="65"/>
      <c r="E629" s="66"/>
      <c r="F629" s="65"/>
      <c r="G629" s="67"/>
    </row>
    <row r="630" ht="15.75" customHeight="1">
      <c r="B630" s="65"/>
      <c r="C630" s="65"/>
      <c r="D630" s="65"/>
      <c r="E630" s="66"/>
      <c r="F630" s="65"/>
      <c r="G630" s="67"/>
    </row>
    <row r="631" ht="15.75" customHeight="1">
      <c r="B631" s="65"/>
      <c r="C631" s="65"/>
      <c r="D631" s="65"/>
      <c r="E631" s="66"/>
      <c r="F631" s="65"/>
      <c r="G631" s="67"/>
    </row>
    <row r="632" ht="15.75" customHeight="1">
      <c r="B632" s="65"/>
      <c r="C632" s="65"/>
      <c r="D632" s="65"/>
      <c r="E632" s="66"/>
      <c r="F632" s="65"/>
      <c r="G632" s="67"/>
    </row>
    <row r="633" ht="15.75" customHeight="1">
      <c r="B633" s="65"/>
      <c r="C633" s="65"/>
      <c r="D633" s="65"/>
      <c r="E633" s="66"/>
      <c r="F633" s="65"/>
      <c r="G633" s="67"/>
    </row>
    <row r="634" ht="15.75" customHeight="1">
      <c r="B634" s="65"/>
      <c r="C634" s="65"/>
      <c r="D634" s="65"/>
      <c r="E634" s="66"/>
      <c r="F634" s="65"/>
      <c r="G634" s="67"/>
    </row>
    <row r="635" ht="15.75" customHeight="1">
      <c r="B635" s="65"/>
      <c r="C635" s="65"/>
      <c r="D635" s="65"/>
      <c r="E635" s="66"/>
      <c r="F635" s="65"/>
      <c r="G635" s="67"/>
    </row>
    <row r="636" ht="15.75" customHeight="1">
      <c r="B636" s="65"/>
      <c r="C636" s="65"/>
      <c r="D636" s="65"/>
      <c r="E636" s="66"/>
      <c r="F636" s="65"/>
      <c r="G636" s="67"/>
    </row>
    <row r="637" ht="15.75" customHeight="1">
      <c r="B637" s="65"/>
      <c r="C637" s="65"/>
      <c r="D637" s="65"/>
      <c r="E637" s="66"/>
      <c r="F637" s="65"/>
      <c r="G637" s="67"/>
    </row>
    <row r="638" ht="15.75" customHeight="1">
      <c r="B638" s="65"/>
      <c r="C638" s="65"/>
      <c r="D638" s="65"/>
      <c r="E638" s="66"/>
      <c r="F638" s="65"/>
      <c r="G638" s="67"/>
    </row>
    <row r="639" ht="15.75" customHeight="1">
      <c r="B639" s="65"/>
      <c r="C639" s="65"/>
      <c r="D639" s="65"/>
      <c r="E639" s="66"/>
      <c r="F639" s="65"/>
      <c r="G639" s="67"/>
    </row>
    <row r="640" ht="15.75" customHeight="1">
      <c r="B640" s="65"/>
      <c r="C640" s="65"/>
      <c r="D640" s="65"/>
      <c r="E640" s="66"/>
      <c r="F640" s="65"/>
      <c r="G640" s="67"/>
    </row>
    <row r="641" ht="15.75" customHeight="1">
      <c r="B641" s="65"/>
      <c r="C641" s="65"/>
      <c r="D641" s="65"/>
      <c r="E641" s="66"/>
      <c r="F641" s="65"/>
      <c r="G641" s="67"/>
    </row>
    <row r="642" ht="15.75" customHeight="1">
      <c r="B642" s="65"/>
      <c r="C642" s="65"/>
      <c r="D642" s="65"/>
      <c r="E642" s="66"/>
      <c r="F642" s="65"/>
      <c r="G642" s="67"/>
    </row>
    <row r="643" ht="15.75" customHeight="1">
      <c r="B643" s="65"/>
      <c r="C643" s="65"/>
      <c r="D643" s="65"/>
      <c r="E643" s="66"/>
      <c r="F643" s="65"/>
      <c r="G643" s="67"/>
    </row>
    <row r="644" ht="15.75" customHeight="1">
      <c r="B644" s="65"/>
      <c r="C644" s="65"/>
      <c r="D644" s="65"/>
      <c r="E644" s="66"/>
      <c r="F644" s="65"/>
      <c r="G644" s="67"/>
    </row>
    <row r="645" ht="15.75" customHeight="1">
      <c r="B645" s="65"/>
      <c r="C645" s="65"/>
      <c r="D645" s="65"/>
      <c r="E645" s="66"/>
      <c r="F645" s="65"/>
      <c r="G645" s="67"/>
    </row>
    <row r="646" ht="15.75" customHeight="1">
      <c r="B646" s="65"/>
      <c r="C646" s="65"/>
      <c r="D646" s="65"/>
      <c r="E646" s="66"/>
      <c r="F646" s="65"/>
      <c r="G646" s="67"/>
    </row>
    <row r="647" ht="15.75" customHeight="1">
      <c r="B647" s="65"/>
      <c r="C647" s="65"/>
      <c r="D647" s="65"/>
      <c r="E647" s="66"/>
      <c r="F647" s="65"/>
      <c r="G647" s="67"/>
    </row>
    <row r="648" ht="15.75" customHeight="1">
      <c r="B648" s="65"/>
      <c r="C648" s="65"/>
      <c r="D648" s="65"/>
      <c r="E648" s="66"/>
      <c r="F648" s="65"/>
      <c r="G648" s="67"/>
    </row>
    <row r="649" ht="15.75" customHeight="1">
      <c r="B649" s="65"/>
      <c r="C649" s="65"/>
      <c r="D649" s="65"/>
      <c r="E649" s="66"/>
      <c r="F649" s="65"/>
      <c r="G649" s="67"/>
    </row>
    <row r="650" ht="15.75" customHeight="1">
      <c r="B650" s="65"/>
      <c r="C650" s="65"/>
      <c r="D650" s="65"/>
      <c r="E650" s="66"/>
      <c r="F650" s="65"/>
      <c r="G650" s="67"/>
    </row>
    <row r="651" ht="15.75" customHeight="1">
      <c r="B651" s="65"/>
      <c r="C651" s="65"/>
      <c r="D651" s="65"/>
      <c r="E651" s="66"/>
      <c r="F651" s="65"/>
      <c r="G651" s="67"/>
    </row>
    <row r="652" ht="15.75" customHeight="1">
      <c r="B652" s="65"/>
      <c r="C652" s="65"/>
      <c r="D652" s="65"/>
      <c r="E652" s="66"/>
      <c r="F652" s="65"/>
      <c r="G652" s="67"/>
    </row>
    <row r="653" ht="15.75" customHeight="1">
      <c r="B653" s="65"/>
      <c r="C653" s="65"/>
      <c r="D653" s="65"/>
      <c r="E653" s="66"/>
      <c r="F653" s="65"/>
      <c r="G653" s="67"/>
    </row>
    <row r="654" ht="15.75" customHeight="1">
      <c r="B654" s="65"/>
      <c r="C654" s="65"/>
      <c r="D654" s="65"/>
      <c r="E654" s="66"/>
      <c r="F654" s="65"/>
      <c r="G654" s="67"/>
    </row>
    <row r="655" ht="15.75" customHeight="1">
      <c r="B655" s="65"/>
      <c r="C655" s="65"/>
      <c r="D655" s="65"/>
      <c r="E655" s="66"/>
      <c r="F655" s="65"/>
      <c r="G655" s="67"/>
    </row>
    <row r="656" ht="15.75" customHeight="1">
      <c r="B656" s="65"/>
      <c r="C656" s="65"/>
      <c r="D656" s="65"/>
      <c r="E656" s="66"/>
      <c r="F656" s="65"/>
      <c r="G656" s="67"/>
    </row>
    <row r="657" ht="15.75" customHeight="1">
      <c r="B657" s="65"/>
      <c r="C657" s="65"/>
      <c r="D657" s="65"/>
      <c r="E657" s="66"/>
      <c r="F657" s="65"/>
      <c r="G657" s="67"/>
    </row>
    <row r="658" ht="15.75" customHeight="1">
      <c r="B658" s="65"/>
      <c r="C658" s="65"/>
      <c r="D658" s="65"/>
      <c r="E658" s="66"/>
      <c r="F658" s="65"/>
      <c r="G658" s="67"/>
    </row>
    <row r="659" ht="15.75" customHeight="1">
      <c r="B659" s="65"/>
      <c r="C659" s="65"/>
      <c r="D659" s="65"/>
      <c r="E659" s="66"/>
      <c r="F659" s="65"/>
      <c r="G659" s="67"/>
    </row>
    <row r="660" ht="15.75" customHeight="1">
      <c r="B660" s="65"/>
      <c r="C660" s="65"/>
      <c r="D660" s="65"/>
      <c r="E660" s="66"/>
      <c r="F660" s="65"/>
      <c r="G660" s="67"/>
    </row>
    <row r="661" ht="15.75" customHeight="1">
      <c r="B661" s="65"/>
      <c r="C661" s="65"/>
      <c r="D661" s="65"/>
      <c r="E661" s="66"/>
      <c r="F661" s="65"/>
      <c r="G661" s="67"/>
    </row>
    <row r="662" ht="15.75" customHeight="1">
      <c r="B662" s="65"/>
      <c r="C662" s="65"/>
      <c r="D662" s="65"/>
      <c r="E662" s="66"/>
      <c r="F662" s="65"/>
      <c r="G662" s="67"/>
    </row>
    <row r="663" ht="15.75" customHeight="1">
      <c r="B663" s="65"/>
      <c r="C663" s="65"/>
      <c r="D663" s="65"/>
      <c r="E663" s="66"/>
      <c r="F663" s="65"/>
      <c r="G663" s="67"/>
    </row>
    <row r="664" ht="15.75" customHeight="1">
      <c r="B664" s="65"/>
      <c r="C664" s="65"/>
      <c r="D664" s="65"/>
      <c r="E664" s="66"/>
      <c r="F664" s="65"/>
      <c r="G664" s="67"/>
    </row>
    <row r="665" ht="15.75" customHeight="1">
      <c r="B665" s="65"/>
      <c r="C665" s="65"/>
      <c r="D665" s="65"/>
      <c r="E665" s="66"/>
      <c r="F665" s="65"/>
      <c r="G665" s="67"/>
    </row>
    <row r="666" ht="15.75" customHeight="1">
      <c r="B666" s="65"/>
      <c r="C666" s="65"/>
      <c r="D666" s="65"/>
      <c r="E666" s="66"/>
      <c r="F666" s="65"/>
      <c r="G666" s="67"/>
    </row>
    <row r="667" ht="15.75" customHeight="1">
      <c r="B667" s="65"/>
      <c r="C667" s="65"/>
      <c r="D667" s="65"/>
      <c r="E667" s="66"/>
      <c r="F667" s="65"/>
      <c r="G667" s="67"/>
    </row>
    <row r="668" ht="15.75" customHeight="1">
      <c r="B668" s="65"/>
      <c r="C668" s="65"/>
      <c r="D668" s="65"/>
      <c r="E668" s="66"/>
      <c r="F668" s="65"/>
      <c r="G668" s="67"/>
    </row>
    <row r="669" ht="15.75" customHeight="1">
      <c r="B669" s="65"/>
      <c r="C669" s="65"/>
      <c r="D669" s="65"/>
      <c r="E669" s="66"/>
      <c r="F669" s="65"/>
      <c r="G669" s="67"/>
    </row>
    <row r="670" ht="15.75" customHeight="1">
      <c r="B670" s="65"/>
      <c r="C670" s="65"/>
      <c r="D670" s="65"/>
      <c r="E670" s="66"/>
      <c r="F670" s="65"/>
      <c r="G670" s="67"/>
    </row>
    <row r="671" ht="15.75" customHeight="1">
      <c r="B671" s="65"/>
      <c r="C671" s="65"/>
      <c r="D671" s="65"/>
      <c r="E671" s="66"/>
      <c r="F671" s="65"/>
      <c r="G671" s="67"/>
    </row>
    <row r="672" ht="15.75" customHeight="1">
      <c r="B672" s="65"/>
      <c r="C672" s="65"/>
      <c r="D672" s="65"/>
      <c r="E672" s="66"/>
      <c r="F672" s="65"/>
      <c r="G672" s="67"/>
    </row>
    <row r="673" ht="15.75" customHeight="1">
      <c r="B673" s="65"/>
      <c r="C673" s="65"/>
      <c r="D673" s="65"/>
      <c r="E673" s="66"/>
      <c r="F673" s="65"/>
      <c r="G673" s="67"/>
    </row>
    <row r="674" ht="15.75" customHeight="1">
      <c r="B674" s="65"/>
      <c r="C674" s="65"/>
      <c r="D674" s="65"/>
      <c r="E674" s="66"/>
      <c r="F674" s="65"/>
      <c r="G674" s="67"/>
    </row>
    <row r="675" ht="15.75" customHeight="1">
      <c r="B675" s="65"/>
      <c r="C675" s="65"/>
      <c r="D675" s="65"/>
      <c r="E675" s="66"/>
      <c r="F675" s="65"/>
      <c r="G675" s="67"/>
    </row>
    <row r="676" ht="15.75" customHeight="1">
      <c r="B676" s="65"/>
      <c r="C676" s="65"/>
      <c r="D676" s="65"/>
      <c r="E676" s="66"/>
      <c r="F676" s="65"/>
      <c r="G676" s="67"/>
    </row>
    <row r="677" ht="15.75" customHeight="1">
      <c r="B677" s="65"/>
      <c r="C677" s="65"/>
      <c r="D677" s="65"/>
      <c r="E677" s="66"/>
      <c r="F677" s="65"/>
      <c r="G677" s="67"/>
    </row>
    <row r="678" ht="15.75" customHeight="1">
      <c r="B678" s="65"/>
      <c r="C678" s="65"/>
      <c r="D678" s="65"/>
      <c r="E678" s="66"/>
      <c r="F678" s="65"/>
      <c r="G678" s="67"/>
    </row>
    <row r="679" ht="15.75" customHeight="1">
      <c r="B679" s="65"/>
      <c r="C679" s="65"/>
      <c r="D679" s="65"/>
      <c r="E679" s="66"/>
      <c r="F679" s="65"/>
      <c r="G679" s="67"/>
    </row>
    <row r="680" ht="15.75" customHeight="1">
      <c r="B680" s="65"/>
      <c r="C680" s="65"/>
      <c r="D680" s="65"/>
      <c r="E680" s="66"/>
      <c r="F680" s="65"/>
      <c r="G680" s="67"/>
    </row>
    <row r="681" ht="15.75" customHeight="1">
      <c r="B681" s="65"/>
      <c r="C681" s="65"/>
      <c r="D681" s="65"/>
      <c r="E681" s="66"/>
      <c r="F681" s="65"/>
      <c r="G681" s="67"/>
    </row>
    <row r="682" ht="15.75" customHeight="1">
      <c r="B682" s="65"/>
      <c r="C682" s="65"/>
      <c r="D682" s="65"/>
      <c r="E682" s="66"/>
      <c r="F682" s="65"/>
      <c r="G682" s="67"/>
    </row>
    <row r="683" ht="15.75" customHeight="1">
      <c r="B683" s="65"/>
      <c r="C683" s="65"/>
      <c r="D683" s="65"/>
      <c r="E683" s="66"/>
      <c r="F683" s="65"/>
      <c r="G683" s="67"/>
    </row>
    <row r="684" ht="15.75" customHeight="1">
      <c r="B684" s="65"/>
      <c r="C684" s="65"/>
      <c r="D684" s="65"/>
      <c r="E684" s="66"/>
      <c r="F684" s="65"/>
      <c r="G684" s="67"/>
    </row>
    <row r="685" ht="15.75" customHeight="1">
      <c r="B685" s="65"/>
      <c r="C685" s="65"/>
      <c r="D685" s="65"/>
      <c r="E685" s="66"/>
      <c r="F685" s="65"/>
      <c r="G685" s="67"/>
    </row>
    <row r="686" ht="15.75" customHeight="1">
      <c r="B686" s="65"/>
      <c r="C686" s="65"/>
      <c r="D686" s="65"/>
      <c r="E686" s="66"/>
      <c r="F686" s="65"/>
      <c r="G686" s="67"/>
    </row>
    <row r="687" ht="15.75" customHeight="1">
      <c r="B687" s="65"/>
      <c r="C687" s="65"/>
      <c r="D687" s="65"/>
      <c r="E687" s="66"/>
      <c r="F687" s="65"/>
      <c r="G687" s="67"/>
    </row>
    <row r="688" ht="15.75" customHeight="1">
      <c r="B688" s="65"/>
      <c r="C688" s="65"/>
      <c r="D688" s="65"/>
      <c r="E688" s="66"/>
      <c r="F688" s="65"/>
      <c r="G688" s="67"/>
    </row>
    <row r="689" ht="15.75" customHeight="1">
      <c r="B689" s="65"/>
      <c r="C689" s="65"/>
      <c r="D689" s="65"/>
      <c r="E689" s="66"/>
      <c r="F689" s="65"/>
      <c r="G689" s="67"/>
    </row>
    <row r="690" ht="15.75" customHeight="1">
      <c r="B690" s="65"/>
      <c r="C690" s="65"/>
      <c r="D690" s="65"/>
      <c r="E690" s="66"/>
      <c r="F690" s="65"/>
      <c r="G690" s="67"/>
    </row>
    <row r="691" ht="15.75" customHeight="1">
      <c r="B691" s="65"/>
      <c r="C691" s="65"/>
      <c r="D691" s="65"/>
      <c r="E691" s="66"/>
      <c r="F691" s="65"/>
      <c r="G691" s="67"/>
    </row>
    <row r="692" ht="15.75" customHeight="1">
      <c r="B692" s="65"/>
      <c r="C692" s="65"/>
      <c r="D692" s="65"/>
      <c r="E692" s="66"/>
      <c r="F692" s="65"/>
      <c r="G692" s="67"/>
    </row>
    <row r="693" ht="15.75" customHeight="1">
      <c r="B693" s="65"/>
      <c r="C693" s="65"/>
      <c r="D693" s="65"/>
      <c r="E693" s="66"/>
      <c r="F693" s="65"/>
      <c r="G693" s="67"/>
    </row>
    <row r="694" ht="15.75" customHeight="1">
      <c r="B694" s="65"/>
      <c r="C694" s="65"/>
      <c r="D694" s="65"/>
      <c r="E694" s="66"/>
      <c r="F694" s="65"/>
      <c r="G694" s="67"/>
    </row>
    <row r="695" ht="15.75" customHeight="1">
      <c r="B695" s="65"/>
      <c r="C695" s="65"/>
      <c r="D695" s="65"/>
      <c r="E695" s="66"/>
      <c r="F695" s="65"/>
      <c r="G695" s="67"/>
    </row>
    <row r="696" ht="15.75" customHeight="1">
      <c r="B696" s="65"/>
      <c r="C696" s="65"/>
      <c r="D696" s="65"/>
      <c r="E696" s="66"/>
      <c r="F696" s="65"/>
      <c r="G696" s="67"/>
    </row>
    <row r="697" ht="15.75" customHeight="1">
      <c r="B697" s="65"/>
      <c r="C697" s="65"/>
      <c r="D697" s="65"/>
      <c r="E697" s="66"/>
      <c r="F697" s="65"/>
      <c r="G697" s="67"/>
    </row>
    <row r="698" ht="15.75" customHeight="1">
      <c r="B698" s="65"/>
      <c r="C698" s="65"/>
      <c r="D698" s="65"/>
      <c r="E698" s="66"/>
      <c r="F698" s="65"/>
      <c r="G698" s="67"/>
    </row>
    <row r="699" ht="15.75" customHeight="1">
      <c r="B699" s="65"/>
      <c r="C699" s="65"/>
      <c r="D699" s="65"/>
      <c r="E699" s="66"/>
      <c r="F699" s="65"/>
      <c r="G699" s="67"/>
    </row>
    <row r="700" ht="15.75" customHeight="1">
      <c r="B700" s="65"/>
      <c r="C700" s="65"/>
      <c r="D700" s="65"/>
      <c r="E700" s="66"/>
      <c r="F700" s="65"/>
      <c r="G700" s="67"/>
    </row>
    <row r="701" ht="15.75" customHeight="1">
      <c r="B701" s="65"/>
      <c r="C701" s="65"/>
      <c r="D701" s="65"/>
      <c r="E701" s="66"/>
      <c r="F701" s="65"/>
      <c r="G701" s="67"/>
    </row>
    <row r="702" ht="15.75" customHeight="1">
      <c r="B702" s="65"/>
      <c r="C702" s="65"/>
      <c r="D702" s="65"/>
      <c r="E702" s="66"/>
      <c r="F702" s="65"/>
      <c r="G702" s="67"/>
    </row>
    <row r="703" ht="15.75" customHeight="1">
      <c r="B703" s="65"/>
      <c r="C703" s="65"/>
      <c r="D703" s="65"/>
      <c r="E703" s="66"/>
      <c r="F703" s="65"/>
      <c r="G703" s="67"/>
    </row>
    <row r="704" ht="15.75" customHeight="1">
      <c r="B704" s="65"/>
      <c r="C704" s="65"/>
      <c r="D704" s="65"/>
      <c r="E704" s="66"/>
      <c r="F704" s="65"/>
      <c r="G704" s="67"/>
    </row>
    <row r="705" ht="15.75" customHeight="1">
      <c r="B705" s="65"/>
      <c r="C705" s="65"/>
      <c r="D705" s="65"/>
      <c r="E705" s="66"/>
      <c r="F705" s="65"/>
      <c r="G705" s="67"/>
    </row>
    <row r="706" ht="15.75" customHeight="1">
      <c r="B706" s="65"/>
      <c r="C706" s="65"/>
      <c r="D706" s="65"/>
      <c r="E706" s="66"/>
      <c r="F706" s="65"/>
      <c r="G706" s="67"/>
    </row>
    <row r="707" ht="15.75" customHeight="1">
      <c r="B707" s="65"/>
      <c r="C707" s="65"/>
      <c r="D707" s="65"/>
      <c r="E707" s="66"/>
      <c r="F707" s="65"/>
      <c r="G707" s="67"/>
    </row>
    <row r="708" ht="15.75" customHeight="1">
      <c r="B708" s="65"/>
      <c r="C708" s="65"/>
      <c r="D708" s="65"/>
      <c r="E708" s="66"/>
      <c r="F708" s="65"/>
      <c r="G708" s="67"/>
    </row>
    <row r="709" ht="15.75" customHeight="1">
      <c r="B709" s="65"/>
      <c r="C709" s="65"/>
      <c r="D709" s="65"/>
      <c r="E709" s="66"/>
      <c r="F709" s="65"/>
      <c r="G709" s="67"/>
    </row>
    <row r="710" ht="15.75" customHeight="1">
      <c r="B710" s="65"/>
      <c r="C710" s="65"/>
      <c r="D710" s="65"/>
      <c r="E710" s="66"/>
      <c r="F710" s="65"/>
      <c r="G710" s="67"/>
    </row>
    <row r="711" ht="15.75" customHeight="1">
      <c r="B711" s="65"/>
      <c r="C711" s="65"/>
      <c r="D711" s="65"/>
      <c r="E711" s="66"/>
      <c r="F711" s="65"/>
      <c r="G711" s="67"/>
    </row>
    <row r="712" ht="15.75" customHeight="1">
      <c r="B712" s="65"/>
      <c r="C712" s="65"/>
      <c r="D712" s="65"/>
      <c r="E712" s="66"/>
      <c r="F712" s="65"/>
      <c r="G712" s="67"/>
    </row>
    <row r="713" ht="15.75" customHeight="1">
      <c r="B713" s="65"/>
      <c r="C713" s="65"/>
      <c r="D713" s="65"/>
      <c r="E713" s="66"/>
      <c r="F713" s="65"/>
      <c r="G713" s="67"/>
    </row>
    <row r="714" ht="15.75" customHeight="1">
      <c r="B714" s="65"/>
      <c r="C714" s="65"/>
      <c r="D714" s="65"/>
      <c r="E714" s="66"/>
      <c r="F714" s="65"/>
      <c r="G714" s="67"/>
    </row>
    <row r="715" ht="15.75" customHeight="1">
      <c r="B715" s="65"/>
      <c r="C715" s="65"/>
      <c r="D715" s="65"/>
      <c r="E715" s="66"/>
      <c r="F715" s="65"/>
      <c r="G715" s="67"/>
    </row>
    <row r="716" ht="15.75" customHeight="1">
      <c r="B716" s="65"/>
      <c r="C716" s="65"/>
      <c r="D716" s="65"/>
      <c r="E716" s="66"/>
      <c r="F716" s="65"/>
      <c r="G716" s="67"/>
    </row>
    <row r="717" ht="15.75" customHeight="1">
      <c r="B717" s="65"/>
      <c r="C717" s="65"/>
      <c r="D717" s="65"/>
      <c r="E717" s="66"/>
      <c r="F717" s="65"/>
      <c r="G717" s="67"/>
    </row>
    <row r="718" ht="15.75" customHeight="1">
      <c r="B718" s="65"/>
      <c r="C718" s="65"/>
      <c r="D718" s="65"/>
      <c r="E718" s="66"/>
      <c r="F718" s="65"/>
      <c r="G718" s="67"/>
    </row>
    <row r="719" ht="15.75" customHeight="1">
      <c r="B719" s="65"/>
      <c r="C719" s="65"/>
      <c r="D719" s="65"/>
      <c r="E719" s="66"/>
      <c r="F719" s="65"/>
      <c r="G719" s="67"/>
    </row>
    <row r="720" ht="15.75" customHeight="1">
      <c r="B720" s="65"/>
      <c r="C720" s="65"/>
      <c r="D720" s="65"/>
      <c r="E720" s="66"/>
      <c r="F720" s="65"/>
      <c r="G720" s="67"/>
    </row>
    <row r="721" ht="15.75" customHeight="1">
      <c r="B721" s="65"/>
      <c r="C721" s="65"/>
      <c r="D721" s="65"/>
      <c r="E721" s="66"/>
      <c r="F721" s="65"/>
      <c r="G721" s="67"/>
    </row>
    <row r="722" ht="15.75" customHeight="1">
      <c r="B722" s="65"/>
      <c r="C722" s="65"/>
      <c r="D722" s="65"/>
      <c r="E722" s="66"/>
      <c r="F722" s="65"/>
      <c r="G722" s="67"/>
    </row>
    <row r="723" ht="15.75" customHeight="1">
      <c r="B723" s="65"/>
      <c r="C723" s="65"/>
      <c r="D723" s="65"/>
      <c r="E723" s="66"/>
      <c r="F723" s="65"/>
      <c r="G723" s="67"/>
    </row>
    <row r="724" ht="15.75" customHeight="1">
      <c r="B724" s="65"/>
      <c r="C724" s="65"/>
      <c r="D724" s="65"/>
      <c r="E724" s="66"/>
      <c r="F724" s="65"/>
      <c r="G724" s="67"/>
    </row>
    <row r="725" ht="15.75" customHeight="1">
      <c r="B725" s="65"/>
      <c r="C725" s="65"/>
      <c r="D725" s="65"/>
      <c r="E725" s="66"/>
      <c r="F725" s="65"/>
      <c r="G725" s="67"/>
    </row>
    <row r="726" ht="15.75" customHeight="1">
      <c r="B726" s="65"/>
      <c r="C726" s="65"/>
      <c r="D726" s="65"/>
      <c r="E726" s="66"/>
      <c r="F726" s="65"/>
      <c r="G726" s="67"/>
    </row>
    <row r="727" ht="15.75" customHeight="1">
      <c r="B727" s="65"/>
      <c r="C727" s="65"/>
      <c r="D727" s="65"/>
      <c r="E727" s="66"/>
      <c r="F727" s="65"/>
      <c r="G727" s="67"/>
    </row>
    <row r="728" ht="15.75" customHeight="1">
      <c r="B728" s="65"/>
      <c r="C728" s="65"/>
      <c r="D728" s="65"/>
      <c r="E728" s="66"/>
      <c r="F728" s="65"/>
      <c r="G728" s="67"/>
    </row>
    <row r="729" ht="15.75" customHeight="1">
      <c r="B729" s="65"/>
      <c r="C729" s="65"/>
      <c r="D729" s="65"/>
      <c r="E729" s="66"/>
      <c r="F729" s="65"/>
      <c r="G729" s="67"/>
    </row>
    <row r="730" ht="15.75" customHeight="1">
      <c r="B730" s="65"/>
      <c r="C730" s="65"/>
      <c r="D730" s="65"/>
      <c r="E730" s="66"/>
      <c r="F730" s="65"/>
      <c r="G730" s="67"/>
    </row>
    <row r="731" ht="15.75" customHeight="1">
      <c r="B731" s="65"/>
      <c r="C731" s="65"/>
      <c r="D731" s="65"/>
      <c r="E731" s="66"/>
      <c r="F731" s="65"/>
      <c r="G731" s="67"/>
    </row>
    <row r="732" ht="15.75" customHeight="1">
      <c r="B732" s="65"/>
      <c r="C732" s="65"/>
      <c r="D732" s="65"/>
      <c r="E732" s="66"/>
      <c r="F732" s="65"/>
      <c r="G732" s="67"/>
    </row>
    <row r="733" ht="15.75" customHeight="1">
      <c r="B733" s="65"/>
      <c r="C733" s="65"/>
      <c r="D733" s="65"/>
      <c r="E733" s="66"/>
      <c r="F733" s="65"/>
      <c r="G733" s="67"/>
    </row>
    <row r="734" ht="15.75" customHeight="1">
      <c r="B734" s="65"/>
      <c r="C734" s="65"/>
      <c r="D734" s="65"/>
      <c r="E734" s="66"/>
      <c r="F734" s="65"/>
      <c r="G734" s="67"/>
    </row>
    <row r="735" ht="15.75" customHeight="1">
      <c r="B735" s="65"/>
      <c r="C735" s="65"/>
      <c r="D735" s="65"/>
      <c r="E735" s="66"/>
      <c r="F735" s="65"/>
      <c r="G735" s="67"/>
    </row>
    <row r="736" ht="15.75" customHeight="1">
      <c r="B736" s="65"/>
      <c r="C736" s="65"/>
      <c r="D736" s="65"/>
      <c r="E736" s="66"/>
      <c r="F736" s="65"/>
      <c r="G736" s="67"/>
    </row>
    <row r="737" ht="15.75" customHeight="1">
      <c r="B737" s="65"/>
      <c r="C737" s="65"/>
      <c r="D737" s="65"/>
      <c r="E737" s="66"/>
      <c r="F737" s="65"/>
      <c r="G737" s="67"/>
    </row>
    <row r="738" ht="15.75" customHeight="1">
      <c r="B738" s="65"/>
      <c r="C738" s="65"/>
      <c r="D738" s="65"/>
      <c r="E738" s="66"/>
      <c r="F738" s="65"/>
      <c r="G738" s="67"/>
    </row>
    <row r="739" ht="15.75" customHeight="1">
      <c r="B739" s="65"/>
      <c r="C739" s="65"/>
      <c r="D739" s="65"/>
      <c r="E739" s="66"/>
      <c r="F739" s="65"/>
      <c r="G739" s="67"/>
    </row>
    <row r="740" ht="15.75" customHeight="1">
      <c r="B740" s="65"/>
      <c r="C740" s="65"/>
      <c r="D740" s="65"/>
      <c r="E740" s="66"/>
      <c r="F740" s="65"/>
      <c r="G740" s="67"/>
    </row>
    <row r="741" ht="15.75" customHeight="1">
      <c r="B741" s="65"/>
      <c r="C741" s="65"/>
      <c r="D741" s="65"/>
      <c r="E741" s="66"/>
      <c r="F741" s="65"/>
      <c r="G741" s="67"/>
    </row>
    <row r="742" ht="15.75" customHeight="1">
      <c r="B742" s="65"/>
      <c r="C742" s="65"/>
      <c r="D742" s="65"/>
      <c r="E742" s="66"/>
      <c r="F742" s="65"/>
      <c r="G742" s="67"/>
    </row>
    <row r="743" ht="15.75" customHeight="1">
      <c r="B743" s="65"/>
      <c r="C743" s="65"/>
      <c r="D743" s="65"/>
      <c r="E743" s="66"/>
      <c r="F743" s="65"/>
      <c r="G743" s="67"/>
    </row>
    <row r="744" ht="15.75" customHeight="1">
      <c r="B744" s="65"/>
      <c r="C744" s="65"/>
      <c r="D744" s="65"/>
      <c r="E744" s="66"/>
      <c r="F744" s="65"/>
      <c r="G744" s="67"/>
    </row>
    <row r="745" ht="15.75" customHeight="1">
      <c r="B745" s="65"/>
      <c r="C745" s="65"/>
      <c r="D745" s="65"/>
      <c r="E745" s="66"/>
      <c r="F745" s="65"/>
      <c r="G745" s="67"/>
    </row>
    <row r="746" ht="15.75" customHeight="1">
      <c r="B746" s="65"/>
      <c r="C746" s="65"/>
      <c r="D746" s="65"/>
      <c r="E746" s="66"/>
      <c r="F746" s="65"/>
      <c r="G746" s="67"/>
    </row>
    <row r="747" ht="15.75" customHeight="1">
      <c r="B747" s="65"/>
      <c r="C747" s="65"/>
      <c r="D747" s="65"/>
      <c r="E747" s="66"/>
      <c r="F747" s="65"/>
      <c r="G747" s="67"/>
    </row>
    <row r="748" ht="15.75" customHeight="1">
      <c r="B748" s="65"/>
      <c r="C748" s="65"/>
      <c r="D748" s="65"/>
      <c r="E748" s="66"/>
      <c r="F748" s="65"/>
      <c r="G748" s="67"/>
    </row>
    <row r="749" ht="15.75" customHeight="1">
      <c r="B749" s="65"/>
      <c r="C749" s="65"/>
      <c r="D749" s="65"/>
      <c r="E749" s="66"/>
      <c r="F749" s="65"/>
      <c r="G749" s="67"/>
    </row>
    <row r="750" ht="15.75" customHeight="1">
      <c r="B750" s="65"/>
      <c r="C750" s="65"/>
      <c r="D750" s="65"/>
      <c r="E750" s="66"/>
      <c r="F750" s="65"/>
      <c r="G750" s="67"/>
    </row>
    <row r="751" ht="15.75" customHeight="1">
      <c r="B751" s="65"/>
      <c r="C751" s="65"/>
      <c r="D751" s="65"/>
      <c r="E751" s="66"/>
      <c r="F751" s="65"/>
      <c r="G751" s="67"/>
    </row>
    <row r="752" ht="15.75" customHeight="1">
      <c r="B752" s="65"/>
      <c r="C752" s="65"/>
      <c r="D752" s="65"/>
      <c r="E752" s="66"/>
      <c r="F752" s="65"/>
      <c r="G752" s="67"/>
    </row>
    <row r="753" ht="15.75" customHeight="1">
      <c r="B753" s="65"/>
      <c r="C753" s="65"/>
      <c r="D753" s="65"/>
      <c r="E753" s="66"/>
      <c r="F753" s="65"/>
      <c r="G753" s="67"/>
    </row>
    <row r="754" ht="15.75" customHeight="1">
      <c r="B754" s="65"/>
      <c r="C754" s="65"/>
      <c r="D754" s="65"/>
      <c r="E754" s="66"/>
      <c r="F754" s="65"/>
      <c r="G754" s="67"/>
    </row>
    <row r="755" ht="15.75" customHeight="1">
      <c r="B755" s="65"/>
      <c r="C755" s="65"/>
      <c r="D755" s="65"/>
      <c r="E755" s="66"/>
      <c r="F755" s="65"/>
      <c r="G755" s="67"/>
    </row>
    <row r="756" ht="15.75" customHeight="1">
      <c r="B756" s="65"/>
      <c r="C756" s="65"/>
      <c r="D756" s="65"/>
      <c r="E756" s="66"/>
      <c r="F756" s="65"/>
      <c r="G756" s="67"/>
    </row>
    <row r="757" ht="15.75" customHeight="1">
      <c r="B757" s="65"/>
      <c r="C757" s="65"/>
      <c r="D757" s="65"/>
      <c r="E757" s="66"/>
      <c r="F757" s="65"/>
      <c r="G757" s="67"/>
    </row>
    <row r="758" ht="15.75" customHeight="1">
      <c r="B758" s="65"/>
      <c r="C758" s="65"/>
      <c r="D758" s="65"/>
      <c r="E758" s="66"/>
      <c r="F758" s="65"/>
      <c r="G758" s="67"/>
    </row>
    <row r="759" ht="15.75" customHeight="1">
      <c r="B759" s="65"/>
      <c r="C759" s="65"/>
      <c r="D759" s="65"/>
      <c r="E759" s="66"/>
      <c r="F759" s="65"/>
      <c r="G759" s="67"/>
    </row>
    <row r="760" ht="15.75" customHeight="1">
      <c r="B760" s="65"/>
      <c r="C760" s="65"/>
      <c r="D760" s="65"/>
      <c r="E760" s="66"/>
      <c r="F760" s="65"/>
      <c r="G760" s="67"/>
    </row>
    <row r="761" ht="15.75" customHeight="1">
      <c r="B761" s="65"/>
      <c r="C761" s="65"/>
      <c r="D761" s="65"/>
      <c r="E761" s="66"/>
      <c r="F761" s="65"/>
      <c r="G761" s="67"/>
    </row>
    <row r="762" ht="15.75" customHeight="1">
      <c r="B762" s="65"/>
      <c r="C762" s="65"/>
      <c r="D762" s="65"/>
      <c r="E762" s="66"/>
      <c r="F762" s="65"/>
      <c r="G762" s="67"/>
    </row>
    <row r="763" ht="15.75" customHeight="1">
      <c r="B763" s="65"/>
      <c r="C763" s="65"/>
      <c r="D763" s="65"/>
      <c r="E763" s="66"/>
      <c r="F763" s="65"/>
      <c r="G763" s="67"/>
    </row>
    <row r="764" ht="15.75" customHeight="1">
      <c r="B764" s="65"/>
      <c r="C764" s="65"/>
      <c r="D764" s="65"/>
      <c r="E764" s="66"/>
      <c r="F764" s="65"/>
      <c r="G764" s="67"/>
    </row>
    <row r="765" ht="15.75" customHeight="1">
      <c r="B765" s="65"/>
      <c r="C765" s="65"/>
      <c r="D765" s="65"/>
      <c r="E765" s="66"/>
      <c r="F765" s="65"/>
      <c r="G765" s="67"/>
    </row>
    <row r="766" ht="15.75" customHeight="1">
      <c r="B766" s="65"/>
      <c r="C766" s="65"/>
      <c r="D766" s="65"/>
      <c r="E766" s="66"/>
      <c r="F766" s="65"/>
      <c r="G766" s="67"/>
    </row>
    <row r="767" ht="15.75" customHeight="1">
      <c r="B767" s="65"/>
      <c r="C767" s="65"/>
      <c r="D767" s="65"/>
      <c r="E767" s="66"/>
      <c r="F767" s="65"/>
      <c r="G767" s="67"/>
    </row>
    <row r="768" ht="15.75" customHeight="1">
      <c r="B768" s="65"/>
      <c r="C768" s="65"/>
      <c r="D768" s="65"/>
      <c r="E768" s="66"/>
      <c r="F768" s="65"/>
      <c r="G768" s="67"/>
    </row>
    <row r="769" ht="15.75" customHeight="1">
      <c r="B769" s="65"/>
      <c r="C769" s="65"/>
      <c r="D769" s="65"/>
      <c r="E769" s="66"/>
      <c r="F769" s="65"/>
      <c r="G769" s="67"/>
    </row>
    <row r="770" ht="15.75" customHeight="1">
      <c r="B770" s="65"/>
      <c r="C770" s="65"/>
      <c r="D770" s="65"/>
      <c r="E770" s="66"/>
      <c r="F770" s="65"/>
      <c r="G770" s="67"/>
    </row>
    <row r="771" ht="15.75" customHeight="1">
      <c r="B771" s="65"/>
      <c r="C771" s="65"/>
      <c r="D771" s="65"/>
      <c r="E771" s="66"/>
      <c r="F771" s="65"/>
      <c r="G771" s="67"/>
    </row>
    <row r="772" ht="15.75" customHeight="1">
      <c r="B772" s="65"/>
      <c r="C772" s="65"/>
      <c r="D772" s="65"/>
      <c r="E772" s="66"/>
      <c r="F772" s="65"/>
      <c r="G772" s="67"/>
    </row>
    <row r="773" ht="15.75" customHeight="1">
      <c r="B773" s="65"/>
      <c r="C773" s="65"/>
      <c r="D773" s="65"/>
      <c r="E773" s="66"/>
      <c r="F773" s="65"/>
      <c r="G773" s="67"/>
    </row>
    <row r="774" ht="15.75" customHeight="1">
      <c r="B774" s="65"/>
      <c r="C774" s="65"/>
      <c r="D774" s="65"/>
      <c r="E774" s="66"/>
      <c r="F774" s="65"/>
      <c r="G774" s="67"/>
    </row>
    <row r="775" ht="15.75" customHeight="1">
      <c r="B775" s="65"/>
      <c r="C775" s="65"/>
      <c r="D775" s="65"/>
      <c r="E775" s="66"/>
      <c r="F775" s="65"/>
      <c r="G775" s="67"/>
    </row>
    <row r="776" ht="15.75" customHeight="1">
      <c r="B776" s="65"/>
      <c r="C776" s="65"/>
      <c r="D776" s="65"/>
      <c r="E776" s="66"/>
      <c r="F776" s="65"/>
      <c r="G776" s="67"/>
    </row>
    <row r="777" ht="15.75" customHeight="1">
      <c r="B777" s="65"/>
      <c r="C777" s="65"/>
      <c r="D777" s="65"/>
      <c r="E777" s="66"/>
      <c r="F777" s="65"/>
      <c r="G777" s="67"/>
    </row>
    <row r="778" ht="15.75" customHeight="1">
      <c r="B778" s="65"/>
      <c r="C778" s="65"/>
      <c r="D778" s="65"/>
      <c r="E778" s="66"/>
      <c r="F778" s="65"/>
      <c r="G778" s="67"/>
    </row>
    <row r="779" ht="15.75" customHeight="1">
      <c r="B779" s="65"/>
      <c r="C779" s="65"/>
      <c r="D779" s="65"/>
      <c r="E779" s="66"/>
      <c r="F779" s="65"/>
      <c r="G779" s="67"/>
    </row>
    <row r="780" ht="15.75" customHeight="1">
      <c r="B780" s="65"/>
      <c r="C780" s="65"/>
      <c r="D780" s="65"/>
      <c r="E780" s="66"/>
      <c r="F780" s="65"/>
      <c r="G780" s="67"/>
    </row>
    <row r="781" ht="15.75" customHeight="1">
      <c r="B781" s="65"/>
      <c r="C781" s="65"/>
      <c r="D781" s="65"/>
      <c r="E781" s="66"/>
      <c r="F781" s="65"/>
      <c r="G781" s="67"/>
    </row>
    <row r="782" ht="15.75" customHeight="1">
      <c r="B782" s="65"/>
      <c r="C782" s="65"/>
      <c r="D782" s="65"/>
      <c r="E782" s="66"/>
      <c r="F782" s="65"/>
      <c r="G782" s="67"/>
    </row>
    <row r="783" ht="15.75" customHeight="1">
      <c r="B783" s="65"/>
      <c r="C783" s="65"/>
      <c r="D783" s="65"/>
      <c r="E783" s="66"/>
      <c r="F783" s="65"/>
      <c r="G783" s="67"/>
    </row>
    <row r="784" ht="15.75" customHeight="1">
      <c r="B784" s="65"/>
      <c r="C784" s="65"/>
      <c r="D784" s="65"/>
      <c r="E784" s="66"/>
      <c r="F784" s="65"/>
      <c r="G784" s="67"/>
    </row>
    <row r="785" ht="15.75" customHeight="1">
      <c r="B785" s="65"/>
      <c r="C785" s="65"/>
      <c r="D785" s="65"/>
      <c r="E785" s="66"/>
      <c r="F785" s="65"/>
      <c r="G785" s="67"/>
    </row>
    <row r="786" ht="15.75" customHeight="1">
      <c r="B786" s="65"/>
      <c r="C786" s="65"/>
      <c r="D786" s="65"/>
      <c r="E786" s="66"/>
      <c r="F786" s="65"/>
      <c r="G786" s="67"/>
    </row>
    <row r="787" ht="15.75" customHeight="1">
      <c r="B787" s="65"/>
      <c r="C787" s="65"/>
      <c r="D787" s="65"/>
      <c r="E787" s="66"/>
      <c r="F787" s="65"/>
      <c r="G787" s="67"/>
    </row>
    <row r="788" ht="15.75" customHeight="1">
      <c r="B788" s="65"/>
      <c r="C788" s="65"/>
      <c r="D788" s="65"/>
      <c r="E788" s="66"/>
      <c r="F788" s="65"/>
      <c r="G788" s="67"/>
    </row>
    <row r="789" ht="15.75" customHeight="1">
      <c r="B789" s="65"/>
      <c r="C789" s="65"/>
      <c r="D789" s="65"/>
      <c r="E789" s="66"/>
      <c r="F789" s="65"/>
      <c r="G789" s="67"/>
    </row>
    <row r="790" ht="15.75" customHeight="1">
      <c r="B790" s="65"/>
      <c r="C790" s="65"/>
      <c r="D790" s="65"/>
      <c r="E790" s="66"/>
      <c r="F790" s="65"/>
      <c r="G790" s="67"/>
    </row>
    <row r="791" ht="15.75" customHeight="1">
      <c r="B791" s="65"/>
      <c r="C791" s="65"/>
      <c r="D791" s="65"/>
      <c r="E791" s="66"/>
      <c r="F791" s="65"/>
      <c r="G791" s="67"/>
    </row>
    <row r="792" ht="15.75" customHeight="1">
      <c r="B792" s="65"/>
      <c r="C792" s="65"/>
      <c r="D792" s="65"/>
      <c r="E792" s="66"/>
      <c r="F792" s="65"/>
      <c r="G792" s="67"/>
    </row>
    <row r="793" ht="15.75" customHeight="1">
      <c r="B793" s="65"/>
      <c r="C793" s="65"/>
      <c r="D793" s="65"/>
      <c r="E793" s="66"/>
      <c r="F793" s="65"/>
      <c r="G793" s="67"/>
    </row>
    <row r="794" ht="15.75" customHeight="1">
      <c r="B794" s="65"/>
      <c r="C794" s="65"/>
      <c r="D794" s="65"/>
      <c r="E794" s="66"/>
      <c r="F794" s="65"/>
      <c r="G794" s="67"/>
    </row>
    <row r="795" ht="15.75" customHeight="1">
      <c r="B795" s="65"/>
      <c r="C795" s="65"/>
      <c r="D795" s="65"/>
      <c r="E795" s="66"/>
      <c r="F795" s="65"/>
      <c r="G795" s="67"/>
    </row>
    <row r="796" ht="15.75" customHeight="1">
      <c r="B796" s="65"/>
      <c r="C796" s="65"/>
      <c r="D796" s="65"/>
      <c r="E796" s="66"/>
      <c r="F796" s="65"/>
      <c r="G796" s="67"/>
    </row>
    <row r="797" ht="15.75" customHeight="1">
      <c r="B797" s="65"/>
      <c r="C797" s="65"/>
      <c r="D797" s="65"/>
      <c r="E797" s="66"/>
      <c r="F797" s="65"/>
      <c r="G797" s="67"/>
    </row>
    <row r="798" ht="15.75" customHeight="1">
      <c r="B798" s="65"/>
      <c r="C798" s="65"/>
      <c r="D798" s="65"/>
      <c r="E798" s="66"/>
      <c r="F798" s="65"/>
      <c r="G798" s="67"/>
    </row>
    <row r="799" ht="15.75" customHeight="1">
      <c r="B799" s="65"/>
      <c r="C799" s="65"/>
      <c r="D799" s="65"/>
      <c r="E799" s="66"/>
      <c r="F799" s="65"/>
      <c r="G799" s="67"/>
    </row>
    <row r="800" ht="15.75" customHeight="1">
      <c r="B800" s="65"/>
      <c r="C800" s="65"/>
      <c r="D800" s="65"/>
      <c r="E800" s="66"/>
      <c r="F800" s="65"/>
      <c r="G800" s="67"/>
    </row>
    <row r="801" ht="15.75" customHeight="1">
      <c r="B801" s="65"/>
      <c r="C801" s="65"/>
      <c r="D801" s="65"/>
      <c r="E801" s="66"/>
      <c r="F801" s="65"/>
      <c r="G801" s="67"/>
    </row>
    <row r="802" ht="15.75" customHeight="1">
      <c r="B802" s="65"/>
      <c r="C802" s="65"/>
      <c r="D802" s="65"/>
      <c r="E802" s="66"/>
      <c r="F802" s="65"/>
      <c r="G802" s="67"/>
    </row>
    <row r="803" ht="15.75" customHeight="1">
      <c r="B803" s="65"/>
      <c r="C803" s="65"/>
      <c r="D803" s="65"/>
      <c r="E803" s="66"/>
      <c r="F803" s="65"/>
      <c r="G803" s="67"/>
    </row>
    <row r="804" ht="15.75" customHeight="1">
      <c r="B804" s="65"/>
      <c r="C804" s="65"/>
      <c r="D804" s="65"/>
      <c r="E804" s="66"/>
      <c r="F804" s="65"/>
      <c r="G804" s="67"/>
    </row>
    <row r="805" ht="15.75" customHeight="1">
      <c r="B805" s="65"/>
      <c r="C805" s="65"/>
      <c r="D805" s="65"/>
      <c r="E805" s="66"/>
      <c r="F805" s="65"/>
      <c r="G805" s="67"/>
    </row>
    <row r="806" ht="15.75" customHeight="1">
      <c r="B806" s="65"/>
      <c r="C806" s="65"/>
      <c r="D806" s="65"/>
      <c r="E806" s="66"/>
      <c r="F806" s="65"/>
      <c r="G806" s="67"/>
    </row>
    <row r="807" ht="15.75" customHeight="1">
      <c r="B807" s="65"/>
      <c r="C807" s="65"/>
      <c r="D807" s="65"/>
      <c r="E807" s="66"/>
      <c r="F807" s="65"/>
      <c r="G807" s="67"/>
    </row>
    <row r="808" ht="15.75" customHeight="1">
      <c r="B808" s="65"/>
      <c r="C808" s="65"/>
      <c r="D808" s="65"/>
      <c r="E808" s="66"/>
      <c r="F808" s="65"/>
      <c r="G808" s="67"/>
    </row>
    <row r="809" ht="15.75" customHeight="1">
      <c r="B809" s="65"/>
      <c r="C809" s="65"/>
      <c r="D809" s="65"/>
      <c r="E809" s="66"/>
      <c r="F809" s="65"/>
      <c r="G809" s="67"/>
    </row>
    <row r="810" ht="15.75" customHeight="1">
      <c r="B810" s="65"/>
      <c r="C810" s="65"/>
      <c r="D810" s="65"/>
      <c r="E810" s="66"/>
      <c r="F810" s="65"/>
      <c r="G810" s="67"/>
    </row>
    <row r="811" ht="15.75" customHeight="1">
      <c r="B811" s="65"/>
      <c r="C811" s="65"/>
      <c r="D811" s="65"/>
      <c r="E811" s="66"/>
      <c r="F811" s="65"/>
      <c r="G811" s="67"/>
    </row>
    <row r="812" ht="15.75" customHeight="1">
      <c r="B812" s="65"/>
      <c r="C812" s="65"/>
      <c r="D812" s="65"/>
      <c r="E812" s="66"/>
      <c r="F812" s="65"/>
      <c r="G812" s="67"/>
    </row>
    <row r="813" ht="15.75" customHeight="1">
      <c r="B813" s="65"/>
      <c r="C813" s="65"/>
      <c r="D813" s="65"/>
      <c r="E813" s="66"/>
      <c r="F813" s="65"/>
      <c r="G813" s="67"/>
    </row>
    <row r="814" ht="15.75" customHeight="1">
      <c r="B814" s="65"/>
      <c r="C814" s="65"/>
      <c r="D814" s="65"/>
      <c r="E814" s="66"/>
      <c r="F814" s="65"/>
      <c r="G814" s="67"/>
    </row>
    <row r="815" ht="15.75" customHeight="1">
      <c r="B815" s="65"/>
      <c r="C815" s="65"/>
      <c r="D815" s="65"/>
      <c r="E815" s="66"/>
      <c r="F815" s="65"/>
      <c r="G815" s="67"/>
    </row>
    <row r="816" ht="15.75" customHeight="1">
      <c r="B816" s="65"/>
      <c r="C816" s="65"/>
      <c r="D816" s="65"/>
      <c r="E816" s="66"/>
      <c r="F816" s="65"/>
      <c r="G816" s="67"/>
    </row>
    <row r="817" ht="15.75" customHeight="1">
      <c r="B817" s="65"/>
      <c r="C817" s="65"/>
      <c r="D817" s="65"/>
      <c r="E817" s="66"/>
      <c r="F817" s="65"/>
      <c r="G817" s="67"/>
    </row>
    <row r="818" ht="15.75" customHeight="1">
      <c r="B818" s="65"/>
      <c r="C818" s="65"/>
      <c r="D818" s="65"/>
      <c r="E818" s="66"/>
      <c r="F818" s="65"/>
      <c r="G818" s="67"/>
    </row>
    <row r="819" ht="15.75" customHeight="1">
      <c r="B819" s="65"/>
      <c r="C819" s="65"/>
      <c r="D819" s="65"/>
      <c r="E819" s="66"/>
      <c r="F819" s="65"/>
      <c r="G819" s="67"/>
    </row>
    <row r="820" ht="15.75" customHeight="1">
      <c r="B820" s="65"/>
      <c r="C820" s="65"/>
      <c r="D820" s="65"/>
      <c r="E820" s="66"/>
      <c r="F820" s="65"/>
      <c r="G820" s="67"/>
    </row>
    <row r="821" ht="15.75" customHeight="1">
      <c r="B821" s="65"/>
      <c r="C821" s="65"/>
      <c r="D821" s="65"/>
      <c r="E821" s="66"/>
      <c r="F821" s="65"/>
      <c r="G821" s="67"/>
    </row>
    <row r="822" ht="15.75" customHeight="1">
      <c r="B822" s="65"/>
      <c r="C822" s="65"/>
      <c r="D822" s="65"/>
      <c r="E822" s="66"/>
      <c r="F822" s="65"/>
      <c r="G822" s="67"/>
    </row>
    <row r="823" ht="15.75" customHeight="1">
      <c r="B823" s="65"/>
      <c r="C823" s="65"/>
      <c r="D823" s="65"/>
      <c r="E823" s="66"/>
      <c r="F823" s="65"/>
      <c r="G823" s="67"/>
    </row>
    <row r="824" ht="15.75" customHeight="1">
      <c r="B824" s="65"/>
      <c r="C824" s="65"/>
      <c r="D824" s="65"/>
      <c r="E824" s="66"/>
      <c r="F824" s="65"/>
      <c r="G824" s="67"/>
    </row>
    <row r="825" ht="15.75" customHeight="1">
      <c r="B825" s="65"/>
      <c r="C825" s="65"/>
      <c r="D825" s="65"/>
      <c r="E825" s="66"/>
      <c r="F825" s="65"/>
      <c r="G825" s="67"/>
    </row>
    <row r="826" ht="15.75" customHeight="1">
      <c r="B826" s="65"/>
      <c r="C826" s="65"/>
      <c r="D826" s="65"/>
      <c r="E826" s="66"/>
      <c r="F826" s="65"/>
      <c r="G826" s="67"/>
    </row>
    <row r="827" ht="15.75" customHeight="1">
      <c r="B827" s="65"/>
      <c r="C827" s="65"/>
      <c r="D827" s="65"/>
      <c r="E827" s="66"/>
      <c r="F827" s="65"/>
      <c r="G827" s="67"/>
    </row>
    <row r="828" ht="15.75" customHeight="1">
      <c r="B828" s="65"/>
      <c r="C828" s="65"/>
      <c r="D828" s="65"/>
      <c r="E828" s="66"/>
      <c r="F828" s="65"/>
      <c r="G828" s="67"/>
    </row>
    <row r="829" ht="15.75" customHeight="1">
      <c r="B829" s="65"/>
      <c r="C829" s="65"/>
      <c r="D829" s="65"/>
      <c r="E829" s="66"/>
      <c r="F829" s="65"/>
      <c r="G829" s="67"/>
    </row>
    <row r="830" ht="15.75" customHeight="1">
      <c r="B830" s="65"/>
      <c r="C830" s="65"/>
      <c r="D830" s="65"/>
      <c r="E830" s="66"/>
      <c r="F830" s="65"/>
      <c r="G830" s="67"/>
    </row>
    <row r="831" ht="15.75" customHeight="1">
      <c r="B831" s="65"/>
      <c r="C831" s="65"/>
      <c r="D831" s="65"/>
      <c r="E831" s="66"/>
      <c r="F831" s="65"/>
      <c r="G831" s="67"/>
    </row>
    <row r="832" ht="15.75" customHeight="1">
      <c r="B832" s="65"/>
      <c r="C832" s="65"/>
      <c r="D832" s="65"/>
      <c r="E832" s="66"/>
      <c r="F832" s="65"/>
      <c r="G832" s="67"/>
    </row>
    <row r="833" ht="15.75" customHeight="1">
      <c r="B833" s="65"/>
      <c r="C833" s="65"/>
      <c r="D833" s="65"/>
      <c r="E833" s="66"/>
      <c r="F833" s="65"/>
      <c r="G833" s="67"/>
    </row>
    <row r="834" ht="15.75" customHeight="1">
      <c r="B834" s="65"/>
      <c r="C834" s="65"/>
      <c r="D834" s="65"/>
      <c r="E834" s="66"/>
      <c r="F834" s="65"/>
      <c r="G834" s="67"/>
    </row>
    <row r="835" ht="15.75" customHeight="1">
      <c r="B835" s="65"/>
      <c r="C835" s="65"/>
      <c r="D835" s="65"/>
      <c r="E835" s="66"/>
      <c r="F835" s="65"/>
      <c r="G835" s="67"/>
    </row>
    <row r="836" ht="15.75" customHeight="1">
      <c r="B836" s="65"/>
      <c r="C836" s="65"/>
      <c r="D836" s="65"/>
      <c r="E836" s="66"/>
      <c r="F836" s="65"/>
      <c r="G836" s="67"/>
    </row>
    <row r="837" ht="15.75" customHeight="1">
      <c r="B837" s="65"/>
      <c r="C837" s="65"/>
      <c r="D837" s="65"/>
      <c r="E837" s="66"/>
      <c r="F837" s="65"/>
      <c r="G837" s="67"/>
    </row>
    <row r="838" ht="15.75" customHeight="1">
      <c r="B838" s="65"/>
      <c r="C838" s="65"/>
      <c r="D838" s="65"/>
      <c r="E838" s="66"/>
      <c r="F838" s="65"/>
      <c r="G838" s="67"/>
    </row>
    <row r="839" ht="15.75" customHeight="1">
      <c r="B839" s="65"/>
      <c r="C839" s="65"/>
      <c r="D839" s="65"/>
      <c r="E839" s="66"/>
      <c r="F839" s="65"/>
      <c r="G839" s="67"/>
    </row>
    <row r="840" ht="15.75" customHeight="1">
      <c r="B840" s="65"/>
      <c r="C840" s="65"/>
      <c r="D840" s="65"/>
      <c r="E840" s="66"/>
      <c r="F840" s="65"/>
      <c r="G840" s="67"/>
    </row>
    <row r="841" ht="15.75" customHeight="1">
      <c r="B841" s="65"/>
      <c r="C841" s="65"/>
      <c r="D841" s="65"/>
      <c r="E841" s="66"/>
      <c r="F841" s="65"/>
      <c r="G841" s="67"/>
    </row>
    <row r="842" ht="15.75" customHeight="1">
      <c r="B842" s="65"/>
      <c r="C842" s="65"/>
      <c r="D842" s="65"/>
      <c r="E842" s="66"/>
      <c r="F842" s="65"/>
      <c r="G842" s="67"/>
    </row>
    <row r="843" ht="15.75" customHeight="1">
      <c r="B843" s="65"/>
      <c r="C843" s="65"/>
      <c r="D843" s="65"/>
      <c r="E843" s="66"/>
      <c r="F843" s="65"/>
      <c r="G843" s="67"/>
    </row>
    <row r="844" ht="15.75" customHeight="1">
      <c r="B844" s="65"/>
      <c r="C844" s="65"/>
      <c r="D844" s="65"/>
      <c r="E844" s="66"/>
      <c r="F844" s="65"/>
      <c r="G844" s="67"/>
    </row>
    <row r="845" ht="15.75" customHeight="1">
      <c r="B845" s="65"/>
      <c r="C845" s="65"/>
      <c r="D845" s="65"/>
      <c r="E845" s="66"/>
      <c r="F845" s="65"/>
      <c r="G845" s="67"/>
    </row>
    <row r="846" ht="15.75" customHeight="1">
      <c r="B846" s="65"/>
      <c r="C846" s="65"/>
      <c r="D846" s="65"/>
      <c r="E846" s="66"/>
      <c r="F846" s="65"/>
      <c r="G846" s="67"/>
    </row>
    <row r="847" ht="15.75" customHeight="1">
      <c r="B847" s="65"/>
      <c r="C847" s="65"/>
      <c r="D847" s="65"/>
      <c r="E847" s="66"/>
      <c r="F847" s="65"/>
      <c r="G847" s="67"/>
    </row>
    <row r="848" ht="15.75" customHeight="1">
      <c r="B848" s="65"/>
      <c r="C848" s="65"/>
      <c r="D848" s="65"/>
      <c r="E848" s="66"/>
      <c r="F848" s="65"/>
      <c r="G848" s="67"/>
    </row>
    <row r="849" ht="15.75" customHeight="1">
      <c r="B849" s="65"/>
      <c r="C849" s="65"/>
      <c r="D849" s="65"/>
      <c r="E849" s="66"/>
      <c r="F849" s="65"/>
      <c r="G849" s="67"/>
    </row>
    <row r="850" ht="15.75" customHeight="1">
      <c r="B850" s="65"/>
      <c r="C850" s="65"/>
      <c r="D850" s="65"/>
      <c r="E850" s="66"/>
      <c r="F850" s="65"/>
      <c r="G850" s="67"/>
    </row>
    <row r="851" ht="15.75" customHeight="1">
      <c r="B851" s="65"/>
      <c r="C851" s="65"/>
      <c r="D851" s="65"/>
      <c r="E851" s="66"/>
      <c r="F851" s="65"/>
      <c r="G851" s="67"/>
    </row>
    <row r="852" ht="15.75" customHeight="1">
      <c r="B852" s="65"/>
      <c r="C852" s="65"/>
      <c r="D852" s="65"/>
      <c r="E852" s="66"/>
      <c r="F852" s="65"/>
      <c r="G852" s="67"/>
    </row>
    <row r="853" ht="15.75" customHeight="1">
      <c r="B853" s="65"/>
      <c r="C853" s="65"/>
      <c r="D853" s="65"/>
      <c r="E853" s="66"/>
      <c r="F853" s="65"/>
      <c r="G853" s="67"/>
    </row>
    <row r="854" ht="15.75" customHeight="1">
      <c r="B854" s="65"/>
      <c r="C854" s="65"/>
      <c r="D854" s="65"/>
      <c r="E854" s="66"/>
      <c r="F854" s="65"/>
      <c r="G854" s="67"/>
    </row>
    <row r="855" ht="15.75" customHeight="1">
      <c r="B855" s="65"/>
      <c r="C855" s="65"/>
      <c r="D855" s="65"/>
      <c r="E855" s="66"/>
      <c r="F855" s="65"/>
      <c r="G855" s="67"/>
    </row>
    <row r="856" ht="15.75" customHeight="1">
      <c r="B856" s="65"/>
      <c r="C856" s="65"/>
      <c r="D856" s="65"/>
      <c r="E856" s="66"/>
      <c r="F856" s="65"/>
      <c r="G856" s="67"/>
    </row>
    <row r="857" ht="15.75" customHeight="1">
      <c r="B857" s="65"/>
      <c r="C857" s="65"/>
      <c r="D857" s="65"/>
      <c r="E857" s="66"/>
      <c r="F857" s="65"/>
      <c r="G857" s="67"/>
    </row>
    <row r="858" ht="15.75" customHeight="1">
      <c r="B858" s="65"/>
      <c r="C858" s="65"/>
      <c r="D858" s="65"/>
      <c r="E858" s="66"/>
      <c r="F858" s="65"/>
      <c r="G858" s="67"/>
    </row>
    <row r="859" ht="15.75" customHeight="1">
      <c r="B859" s="65"/>
      <c r="C859" s="65"/>
      <c r="D859" s="65"/>
      <c r="E859" s="66"/>
      <c r="F859" s="65"/>
      <c r="G859" s="67"/>
    </row>
    <row r="860" ht="15.75" customHeight="1">
      <c r="B860" s="65"/>
      <c r="C860" s="65"/>
      <c r="D860" s="65"/>
      <c r="E860" s="66"/>
      <c r="F860" s="65"/>
      <c r="G860" s="67"/>
    </row>
    <row r="861" ht="15.75" customHeight="1">
      <c r="B861" s="65"/>
      <c r="C861" s="65"/>
      <c r="D861" s="65"/>
      <c r="E861" s="66"/>
      <c r="F861" s="65"/>
      <c r="G861" s="67"/>
    </row>
    <row r="862" ht="15.75" customHeight="1">
      <c r="B862" s="65"/>
      <c r="C862" s="65"/>
      <c r="D862" s="65"/>
      <c r="E862" s="66"/>
      <c r="F862" s="65"/>
      <c r="G862" s="67"/>
    </row>
    <row r="863" ht="15.75" customHeight="1">
      <c r="B863" s="65"/>
      <c r="C863" s="65"/>
      <c r="D863" s="65"/>
      <c r="E863" s="66"/>
      <c r="F863" s="65"/>
      <c r="G863" s="67"/>
    </row>
    <row r="864" ht="15.75" customHeight="1">
      <c r="B864" s="65"/>
      <c r="C864" s="65"/>
      <c r="D864" s="65"/>
      <c r="E864" s="66"/>
      <c r="F864" s="65"/>
      <c r="G864" s="67"/>
    </row>
    <row r="865" ht="15.75" customHeight="1">
      <c r="B865" s="65"/>
      <c r="C865" s="65"/>
      <c r="D865" s="65"/>
      <c r="E865" s="66"/>
      <c r="F865" s="65"/>
      <c r="G865" s="67"/>
    </row>
    <row r="866" ht="15.75" customHeight="1">
      <c r="B866" s="65"/>
      <c r="C866" s="65"/>
      <c r="D866" s="65"/>
      <c r="E866" s="66"/>
      <c r="F866" s="65"/>
      <c r="G866" s="67"/>
    </row>
    <row r="867" ht="15.75" customHeight="1">
      <c r="B867" s="65"/>
      <c r="C867" s="65"/>
      <c r="D867" s="65"/>
      <c r="E867" s="66"/>
      <c r="F867" s="65"/>
      <c r="G867" s="67"/>
    </row>
    <row r="868" ht="15.75" customHeight="1">
      <c r="B868" s="65"/>
      <c r="C868" s="65"/>
      <c r="D868" s="65"/>
      <c r="E868" s="66"/>
      <c r="F868" s="65"/>
      <c r="G868" s="67"/>
    </row>
    <row r="869" ht="15.75" customHeight="1">
      <c r="B869" s="65"/>
      <c r="C869" s="65"/>
      <c r="D869" s="65"/>
      <c r="E869" s="66"/>
      <c r="F869" s="65"/>
      <c r="G869" s="67"/>
    </row>
    <row r="870" ht="15.75" customHeight="1">
      <c r="B870" s="65"/>
      <c r="C870" s="65"/>
      <c r="D870" s="65"/>
      <c r="E870" s="66"/>
      <c r="F870" s="65"/>
      <c r="G870" s="67"/>
    </row>
    <row r="871" ht="15.75" customHeight="1">
      <c r="B871" s="65"/>
      <c r="C871" s="65"/>
      <c r="D871" s="65"/>
      <c r="E871" s="66"/>
      <c r="F871" s="65"/>
      <c r="G871" s="67"/>
    </row>
    <row r="872" ht="15.75" customHeight="1">
      <c r="B872" s="65"/>
      <c r="C872" s="65"/>
      <c r="D872" s="65"/>
      <c r="E872" s="66"/>
      <c r="F872" s="65"/>
      <c r="G872" s="67"/>
    </row>
    <row r="873" ht="15.75" customHeight="1">
      <c r="B873" s="65"/>
      <c r="C873" s="65"/>
      <c r="D873" s="65"/>
      <c r="E873" s="66"/>
      <c r="F873" s="65"/>
      <c r="G873" s="67"/>
    </row>
    <row r="874" ht="15.75" customHeight="1">
      <c r="B874" s="65"/>
      <c r="C874" s="65"/>
      <c r="D874" s="65"/>
      <c r="E874" s="66"/>
      <c r="F874" s="65"/>
      <c r="G874" s="67"/>
    </row>
    <row r="875" ht="15.75" customHeight="1">
      <c r="B875" s="65"/>
      <c r="C875" s="65"/>
      <c r="D875" s="65"/>
      <c r="E875" s="66"/>
      <c r="F875" s="65"/>
      <c r="G875" s="67"/>
    </row>
    <row r="876" ht="15.75" customHeight="1">
      <c r="B876" s="65"/>
      <c r="C876" s="65"/>
      <c r="D876" s="65"/>
      <c r="E876" s="66"/>
      <c r="F876" s="65"/>
      <c r="G876" s="67"/>
    </row>
    <row r="877" ht="15.75" customHeight="1">
      <c r="B877" s="65"/>
      <c r="C877" s="65"/>
      <c r="D877" s="65"/>
      <c r="E877" s="66"/>
      <c r="F877" s="65"/>
      <c r="G877" s="67"/>
    </row>
    <row r="878" ht="15.75" customHeight="1">
      <c r="B878" s="65"/>
      <c r="C878" s="65"/>
      <c r="D878" s="65"/>
      <c r="E878" s="66"/>
      <c r="F878" s="65"/>
      <c r="G878" s="67"/>
    </row>
    <row r="879" ht="15.75" customHeight="1">
      <c r="B879" s="65"/>
      <c r="C879" s="65"/>
      <c r="D879" s="65"/>
      <c r="E879" s="66"/>
      <c r="F879" s="65"/>
      <c r="G879" s="67"/>
    </row>
    <row r="880" ht="15.75" customHeight="1">
      <c r="B880" s="65"/>
      <c r="C880" s="65"/>
      <c r="D880" s="65"/>
      <c r="E880" s="66"/>
      <c r="F880" s="65"/>
      <c r="G880" s="67"/>
    </row>
    <row r="881" ht="15.75" customHeight="1">
      <c r="B881" s="65"/>
      <c r="C881" s="65"/>
      <c r="D881" s="65"/>
      <c r="E881" s="66"/>
      <c r="F881" s="65"/>
      <c r="G881" s="67"/>
    </row>
    <row r="882" ht="15.75" customHeight="1">
      <c r="B882" s="65"/>
      <c r="C882" s="65"/>
      <c r="D882" s="65"/>
      <c r="E882" s="66"/>
      <c r="F882" s="65"/>
      <c r="G882" s="67"/>
    </row>
    <row r="883" ht="15.75" customHeight="1">
      <c r="B883" s="65"/>
      <c r="C883" s="65"/>
      <c r="D883" s="65"/>
      <c r="E883" s="66"/>
      <c r="F883" s="65"/>
      <c r="G883" s="67"/>
    </row>
    <row r="884" ht="15.75" customHeight="1">
      <c r="B884" s="65"/>
      <c r="C884" s="65"/>
      <c r="D884" s="65"/>
      <c r="E884" s="66"/>
      <c r="F884" s="65"/>
      <c r="G884" s="67"/>
    </row>
    <row r="885" ht="15.75" customHeight="1">
      <c r="B885" s="65"/>
      <c r="C885" s="65"/>
      <c r="D885" s="65"/>
      <c r="E885" s="66"/>
      <c r="F885" s="65"/>
      <c r="G885" s="67"/>
    </row>
    <row r="886" ht="15.75" customHeight="1">
      <c r="B886" s="65"/>
      <c r="C886" s="65"/>
      <c r="D886" s="65"/>
      <c r="E886" s="66"/>
      <c r="F886" s="65"/>
      <c r="G886" s="67"/>
    </row>
    <row r="887" ht="15.75" customHeight="1">
      <c r="B887" s="65"/>
      <c r="C887" s="65"/>
      <c r="D887" s="65"/>
      <c r="E887" s="66"/>
      <c r="F887" s="65"/>
      <c r="G887" s="67"/>
    </row>
    <row r="888" ht="15.75" customHeight="1">
      <c r="B888" s="65"/>
      <c r="C888" s="65"/>
      <c r="D888" s="65"/>
      <c r="E888" s="66"/>
      <c r="F888" s="65"/>
      <c r="G888" s="67"/>
    </row>
    <row r="889" ht="15.75" customHeight="1">
      <c r="B889" s="65"/>
      <c r="C889" s="65"/>
      <c r="D889" s="65"/>
      <c r="E889" s="66"/>
      <c r="F889" s="65"/>
      <c r="G889" s="67"/>
    </row>
    <row r="890" ht="15.75" customHeight="1">
      <c r="B890" s="65"/>
      <c r="C890" s="65"/>
      <c r="D890" s="65"/>
      <c r="E890" s="66"/>
      <c r="F890" s="65"/>
      <c r="G890" s="67"/>
    </row>
    <row r="891" ht="15.75" customHeight="1">
      <c r="B891" s="65"/>
      <c r="C891" s="65"/>
      <c r="D891" s="65"/>
      <c r="E891" s="66"/>
      <c r="F891" s="65"/>
      <c r="G891" s="67"/>
    </row>
    <row r="892" ht="15.75" customHeight="1">
      <c r="B892" s="65"/>
      <c r="C892" s="65"/>
      <c r="D892" s="65"/>
      <c r="E892" s="66"/>
      <c r="F892" s="65"/>
      <c r="G892" s="67"/>
    </row>
    <row r="893" ht="15.75" customHeight="1">
      <c r="B893" s="65"/>
      <c r="C893" s="65"/>
      <c r="D893" s="65"/>
      <c r="E893" s="66"/>
      <c r="F893" s="65"/>
      <c r="G893" s="67"/>
    </row>
    <row r="894" ht="15.75" customHeight="1">
      <c r="B894" s="65"/>
      <c r="C894" s="65"/>
      <c r="D894" s="65"/>
      <c r="E894" s="66"/>
      <c r="F894" s="65"/>
      <c r="G894" s="67"/>
    </row>
    <row r="895" ht="15.75" customHeight="1">
      <c r="B895" s="65"/>
      <c r="C895" s="65"/>
      <c r="D895" s="65"/>
      <c r="E895" s="66"/>
      <c r="F895" s="65"/>
      <c r="G895" s="67"/>
    </row>
    <row r="896" ht="15.75" customHeight="1">
      <c r="B896" s="65"/>
      <c r="C896" s="65"/>
      <c r="D896" s="65"/>
      <c r="E896" s="66"/>
      <c r="F896" s="65"/>
      <c r="G896" s="67"/>
    </row>
    <row r="897" ht="15.75" customHeight="1">
      <c r="B897" s="65"/>
      <c r="C897" s="65"/>
      <c r="D897" s="65"/>
      <c r="E897" s="66"/>
      <c r="F897" s="65"/>
      <c r="G897" s="67"/>
    </row>
    <row r="898" ht="15.75" customHeight="1">
      <c r="B898" s="65"/>
      <c r="C898" s="65"/>
      <c r="D898" s="65"/>
      <c r="E898" s="66"/>
      <c r="F898" s="65"/>
      <c r="G898" s="67"/>
    </row>
    <row r="899" ht="15.75" customHeight="1">
      <c r="B899" s="65"/>
      <c r="C899" s="65"/>
      <c r="D899" s="65"/>
      <c r="E899" s="66"/>
      <c r="F899" s="65"/>
      <c r="G899" s="67"/>
    </row>
    <row r="900" ht="15.75" customHeight="1">
      <c r="B900" s="65"/>
      <c r="C900" s="65"/>
      <c r="D900" s="65"/>
      <c r="E900" s="66"/>
      <c r="F900" s="65"/>
      <c r="G900" s="67"/>
    </row>
    <row r="901" ht="15.75" customHeight="1">
      <c r="B901" s="65"/>
      <c r="C901" s="65"/>
      <c r="D901" s="65"/>
      <c r="E901" s="66"/>
      <c r="F901" s="65"/>
      <c r="G901" s="67"/>
    </row>
    <row r="902" ht="15.75" customHeight="1">
      <c r="B902" s="65"/>
      <c r="C902" s="65"/>
      <c r="D902" s="65"/>
      <c r="E902" s="66"/>
      <c r="F902" s="65"/>
      <c r="G902" s="67"/>
    </row>
    <row r="903" ht="15.75" customHeight="1">
      <c r="B903" s="65"/>
      <c r="C903" s="65"/>
      <c r="D903" s="65"/>
      <c r="E903" s="66"/>
      <c r="F903" s="65"/>
      <c r="G903" s="67"/>
    </row>
    <row r="904" ht="15.75" customHeight="1">
      <c r="B904" s="65"/>
      <c r="C904" s="65"/>
      <c r="D904" s="65"/>
      <c r="E904" s="66"/>
      <c r="F904" s="65"/>
      <c r="G904" s="67"/>
    </row>
    <row r="905" ht="15.75" customHeight="1">
      <c r="B905" s="65"/>
      <c r="C905" s="65"/>
      <c r="D905" s="65"/>
      <c r="E905" s="66"/>
      <c r="F905" s="65"/>
      <c r="G905" s="67"/>
    </row>
    <row r="906" ht="15.75" customHeight="1">
      <c r="B906" s="65"/>
      <c r="C906" s="65"/>
      <c r="D906" s="65"/>
      <c r="E906" s="66"/>
      <c r="F906" s="65"/>
      <c r="G906" s="67"/>
    </row>
    <row r="907" ht="15.75" customHeight="1">
      <c r="B907" s="65"/>
      <c r="C907" s="65"/>
      <c r="D907" s="65"/>
      <c r="E907" s="66"/>
      <c r="F907" s="65"/>
      <c r="G907" s="67"/>
    </row>
    <row r="908" ht="15.75" customHeight="1">
      <c r="B908" s="65"/>
      <c r="C908" s="65"/>
      <c r="D908" s="65"/>
      <c r="E908" s="66"/>
      <c r="F908" s="65"/>
      <c r="G908" s="67"/>
    </row>
    <row r="909" ht="15.75" customHeight="1">
      <c r="B909" s="65"/>
      <c r="C909" s="65"/>
      <c r="D909" s="65"/>
      <c r="E909" s="66"/>
      <c r="F909" s="65"/>
      <c r="G909" s="67"/>
    </row>
    <row r="910" ht="15.75" customHeight="1">
      <c r="B910" s="65"/>
      <c r="C910" s="65"/>
      <c r="D910" s="65"/>
      <c r="E910" s="66"/>
      <c r="F910" s="65"/>
      <c r="G910" s="67"/>
    </row>
    <row r="911" ht="15.75" customHeight="1">
      <c r="B911" s="65"/>
      <c r="C911" s="65"/>
      <c r="D911" s="65"/>
      <c r="E911" s="66"/>
      <c r="F911" s="65"/>
      <c r="G911" s="67"/>
    </row>
    <row r="912" ht="15.75" customHeight="1">
      <c r="B912" s="65"/>
      <c r="C912" s="65"/>
      <c r="D912" s="65"/>
      <c r="E912" s="66"/>
      <c r="F912" s="65"/>
      <c r="G912" s="67"/>
    </row>
    <row r="913" ht="15.75" customHeight="1">
      <c r="B913" s="65"/>
      <c r="C913" s="65"/>
      <c r="D913" s="65"/>
      <c r="E913" s="66"/>
      <c r="F913" s="65"/>
      <c r="G913" s="67"/>
    </row>
    <row r="914" ht="15.75" customHeight="1">
      <c r="B914" s="65"/>
      <c r="C914" s="65"/>
      <c r="D914" s="65"/>
      <c r="E914" s="66"/>
      <c r="F914" s="65"/>
      <c r="G914" s="67"/>
    </row>
    <row r="915" ht="15.75" customHeight="1">
      <c r="B915" s="65"/>
      <c r="C915" s="65"/>
      <c r="D915" s="65"/>
      <c r="E915" s="66"/>
      <c r="F915" s="65"/>
      <c r="G915" s="67"/>
    </row>
    <row r="916" ht="15.75" customHeight="1">
      <c r="B916" s="65"/>
      <c r="C916" s="65"/>
      <c r="D916" s="65"/>
      <c r="E916" s="66"/>
      <c r="F916" s="65"/>
      <c r="G916" s="67"/>
    </row>
    <row r="917" ht="15.75" customHeight="1">
      <c r="B917" s="65"/>
      <c r="C917" s="65"/>
      <c r="D917" s="65"/>
      <c r="E917" s="66"/>
      <c r="F917" s="65"/>
      <c r="G917" s="67"/>
    </row>
    <row r="918" ht="15.75" customHeight="1">
      <c r="B918" s="65"/>
      <c r="C918" s="65"/>
      <c r="D918" s="65"/>
      <c r="E918" s="66"/>
      <c r="F918" s="65"/>
      <c r="G918" s="67"/>
    </row>
    <row r="919" ht="15.75" customHeight="1">
      <c r="B919" s="65"/>
      <c r="C919" s="65"/>
      <c r="D919" s="65"/>
      <c r="E919" s="66"/>
      <c r="F919" s="65"/>
      <c r="G919" s="67"/>
    </row>
    <row r="920" ht="15.75" customHeight="1">
      <c r="B920" s="65"/>
      <c r="C920" s="65"/>
      <c r="D920" s="65"/>
      <c r="E920" s="66"/>
      <c r="F920" s="65"/>
      <c r="G920" s="67"/>
    </row>
    <row r="921" ht="15.75" customHeight="1">
      <c r="B921" s="65"/>
      <c r="C921" s="65"/>
      <c r="D921" s="65"/>
      <c r="E921" s="66"/>
      <c r="F921" s="65"/>
      <c r="G921" s="67"/>
    </row>
    <row r="922" ht="15.75" customHeight="1">
      <c r="B922" s="65"/>
      <c r="C922" s="65"/>
      <c r="D922" s="65"/>
      <c r="E922" s="66"/>
      <c r="F922" s="65"/>
      <c r="G922" s="67"/>
    </row>
    <row r="923" ht="15.75" customHeight="1">
      <c r="B923" s="65"/>
      <c r="C923" s="65"/>
      <c r="D923" s="65"/>
      <c r="E923" s="66"/>
      <c r="F923" s="65"/>
      <c r="G923" s="67"/>
    </row>
    <row r="924" ht="15.75" customHeight="1">
      <c r="B924" s="65"/>
      <c r="C924" s="65"/>
      <c r="D924" s="65"/>
      <c r="E924" s="66"/>
      <c r="F924" s="65"/>
      <c r="G924" s="67"/>
    </row>
    <row r="925" ht="15.75" customHeight="1">
      <c r="B925" s="65"/>
      <c r="C925" s="65"/>
      <c r="D925" s="65"/>
      <c r="E925" s="66"/>
      <c r="F925" s="65"/>
      <c r="G925" s="67"/>
    </row>
    <row r="926" ht="15.75" customHeight="1">
      <c r="B926" s="65"/>
      <c r="C926" s="65"/>
      <c r="D926" s="65"/>
      <c r="E926" s="66"/>
      <c r="F926" s="65"/>
      <c r="G926" s="67"/>
    </row>
    <row r="927" ht="15.75" customHeight="1">
      <c r="B927" s="65"/>
      <c r="C927" s="65"/>
      <c r="D927" s="65"/>
      <c r="E927" s="66"/>
      <c r="F927" s="65"/>
      <c r="G927" s="67"/>
    </row>
    <row r="928" ht="15.75" customHeight="1">
      <c r="B928" s="65"/>
      <c r="C928" s="65"/>
      <c r="D928" s="65"/>
      <c r="E928" s="66"/>
      <c r="F928" s="65"/>
      <c r="G928" s="67"/>
    </row>
    <row r="929" ht="15.75" customHeight="1">
      <c r="B929" s="65"/>
      <c r="C929" s="65"/>
      <c r="D929" s="65"/>
      <c r="E929" s="66"/>
      <c r="F929" s="65"/>
      <c r="G929" s="67"/>
    </row>
    <row r="930" ht="15.75" customHeight="1">
      <c r="B930" s="65"/>
      <c r="C930" s="65"/>
      <c r="D930" s="65"/>
      <c r="E930" s="66"/>
      <c r="F930" s="65"/>
      <c r="G930" s="67"/>
    </row>
    <row r="931" ht="15.75" customHeight="1">
      <c r="B931" s="65"/>
      <c r="C931" s="65"/>
      <c r="D931" s="65"/>
      <c r="E931" s="66"/>
      <c r="F931" s="65"/>
      <c r="G931" s="67"/>
    </row>
    <row r="932" ht="15.75" customHeight="1">
      <c r="B932" s="65"/>
      <c r="C932" s="65"/>
      <c r="D932" s="65"/>
      <c r="E932" s="66"/>
      <c r="F932" s="65"/>
      <c r="G932" s="67"/>
    </row>
    <row r="933" ht="15.75" customHeight="1">
      <c r="B933" s="65"/>
      <c r="C933" s="65"/>
      <c r="D933" s="65"/>
      <c r="E933" s="66"/>
      <c r="F933" s="65"/>
      <c r="G933" s="67"/>
    </row>
    <row r="934" ht="15.75" customHeight="1">
      <c r="B934" s="65"/>
      <c r="C934" s="65"/>
      <c r="D934" s="65"/>
      <c r="E934" s="66"/>
      <c r="F934" s="65"/>
      <c r="G934" s="67"/>
    </row>
    <row r="935" ht="15.75" customHeight="1">
      <c r="B935" s="65"/>
      <c r="C935" s="65"/>
      <c r="D935" s="65"/>
      <c r="E935" s="66"/>
      <c r="F935" s="65"/>
      <c r="G935" s="67"/>
    </row>
    <row r="936" ht="15.75" customHeight="1">
      <c r="B936" s="65"/>
      <c r="C936" s="65"/>
      <c r="D936" s="65"/>
      <c r="E936" s="66"/>
      <c r="F936" s="65"/>
      <c r="G936" s="67"/>
    </row>
    <row r="937" ht="15.75" customHeight="1">
      <c r="B937" s="65"/>
      <c r="C937" s="65"/>
      <c r="D937" s="65"/>
      <c r="E937" s="66"/>
      <c r="F937" s="65"/>
      <c r="G937" s="67"/>
    </row>
    <row r="938" ht="15.75" customHeight="1">
      <c r="B938" s="65"/>
      <c r="C938" s="65"/>
      <c r="D938" s="65"/>
      <c r="E938" s="66"/>
      <c r="F938" s="65"/>
      <c r="G938" s="67"/>
    </row>
    <row r="939" ht="15.75" customHeight="1">
      <c r="B939" s="65"/>
      <c r="C939" s="65"/>
      <c r="D939" s="65"/>
      <c r="E939" s="66"/>
      <c r="F939" s="65"/>
      <c r="G939" s="67"/>
    </row>
    <row r="940" ht="15.75" customHeight="1">
      <c r="B940" s="65"/>
      <c r="C940" s="65"/>
      <c r="D940" s="65"/>
      <c r="E940" s="66"/>
      <c r="F940" s="65"/>
      <c r="G940" s="67"/>
    </row>
    <row r="941" ht="15.75" customHeight="1">
      <c r="B941" s="65"/>
      <c r="C941" s="65"/>
      <c r="D941" s="65"/>
      <c r="E941" s="66"/>
      <c r="F941" s="65"/>
      <c r="G941" s="67"/>
    </row>
    <row r="942" ht="15.75" customHeight="1">
      <c r="B942" s="65"/>
      <c r="C942" s="65"/>
      <c r="D942" s="65"/>
      <c r="E942" s="66"/>
      <c r="F942" s="65"/>
      <c r="G942" s="67"/>
    </row>
    <row r="943" ht="15.75" customHeight="1">
      <c r="B943" s="65"/>
      <c r="C943" s="65"/>
      <c r="D943" s="65"/>
      <c r="E943" s="66"/>
      <c r="F943" s="65"/>
      <c r="G943" s="67"/>
    </row>
    <row r="944" ht="15.75" customHeight="1">
      <c r="B944" s="65"/>
      <c r="C944" s="65"/>
      <c r="D944" s="65"/>
      <c r="E944" s="66"/>
      <c r="F944" s="65"/>
      <c r="G944" s="67"/>
    </row>
    <row r="945" ht="15.75" customHeight="1">
      <c r="B945" s="65"/>
      <c r="C945" s="65"/>
      <c r="D945" s="65"/>
      <c r="E945" s="66"/>
      <c r="F945" s="65"/>
      <c r="G945" s="67"/>
    </row>
    <row r="946" ht="15.75" customHeight="1">
      <c r="B946" s="65"/>
      <c r="C946" s="65"/>
      <c r="D946" s="65"/>
      <c r="E946" s="66"/>
      <c r="F946" s="65"/>
      <c r="G946" s="67"/>
    </row>
    <row r="947" ht="15.75" customHeight="1">
      <c r="B947" s="65"/>
      <c r="C947" s="65"/>
      <c r="D947" s="65"/>
      <c r="E947" s="66"/>
      <c r="F947" s="65"/>
      <c r="G947" s="67"/>
    </row>
    <row r="948" ht="15.75" customHeight="1">
      <c r="B948" s="65"/>
      <c r="C948" s="65"/>
      <c r="D948" s="65"/>
      <c r="E948" s="66"/>
      <c r="F948" s="65"/>
      <c r="G948" s="67"/>
    </row>
    <row r="949" ht="15.75" customHeight="1">
      <c r="B949" s="65"/>
      <c r="C949" s="65"/>
      <c r="D949" s="65"/>
      <c r="E949" s="66"/>
      <c r="F949" s="65"/>
      <c r="G949" s="67"/>
    </row>
    <row r="950" ht="15.75" customHeight="1">
      <c r="B950" s="65"/>
      <c r="C950" s="65"/>
      <c r="D950" s="65"/>
      <c r="E950" s="66"/>
      <c r="F950" s="65"/>
      <c r="G950" s="67"/>
    </row>
    <row r="951" ht="15.75" customHeight="1">
      <c r="B951" s="65"/>
      <c r="C951" s="65"/>
      <c r="D951" s="65"/>
      <c r="E951" s="66"/>
      <c r="F951" s="65"/>
      <c r="G951" s="67"/>
    </row>
    <row r="952" ht="15.75" customHeight="1">
      <c r="B952" s="65"/>
      <c r="C952" s="65"/>
      <c r="D952" s="65"/>
      <c r="E952" s="66"/>
      <c r="F952" s="65"/>
      <c r="G952" s="67"/>
    </row>
    <row r="953" ht="15.75" customHeight="1">
      <c r="B953" s="65"/>
      <c r="C953" s="65"/>
      <c r="D953" s="65"/>
      <c r="E953" s="66"/>
      <c r="F953" s="65"/>
      <c r="G953" s="67"/>
    </row>
    <row r="954" ht="15.75" customHeight="1">
      <c r="B954" s="65"/>
      <c r="C954" s="65"/>
      <c r="D954" s="65"/>
      <c r="E954" s="66"/>
      <c r="F954" s="65"/>
      <c r="G954" s="67"/>
    </row>
    <row r="955" ht="15.75" customHeight="1">
      <c r="B955" s="65"/>
      <c r="C955" s="65"/>
      <c r="D955" s="65"/>
      <c r="E955" s="66"/>
      <c r="F955" s="65"/>
      <c r="G955" s="67"/>
    </row>
    <row r="956" ht="15.75" customHeight="1">
      <c r="B956" s="65"/>
      <c r="C956" s="65"/>
      <c r="D956" s="65"/>
      <c r="E956" s="66"/>
      <c r="F956" s="65"/>
      <c r="G956" s="67"/>
    </row>
    <row r="957" ht="15.75" customHeight="1">
      <c r="B957" s="65"/>
      <c r="C957" s="65"/>
      <c r="D957" s="65"/>
      <c r="E957" s="66"/>
      <c r="F957" s="65"/>
      <c r="G957" s="67"/>
    </row>
    <row r="958" ht="15.75" customHeight="1">
      <c r="B958" s="65"/>
      <c r="C958" s="65"/>
      <c r="D958" s="65"/>
      <c r="E958" s="66"/>
      <c r="F958" s="65"/>
      <c r="G958" s="67"/>
    </row>
    <row r="959" ht="15.75" customHeight="1">
      <c r="B959" s="65"/>
      <c r="C959" s="65"/>
      <c r="D959" s="65"/>
      <c r="E959" s="66"/>
      <c r="F959" s="65"/>
      <c r="G959" s="67"/>
    </row>
    <row r="960" ht="15.75" customHeight="1">
      <c r="B960" s="65"/>
      <c r="C960" s="65"/>
      <c r="D960" s="65"/>
      <c r="E960" s="66"/>
      <c r="F960" s="65"/>
      <c r="G960" s="67"/>
    </row>
    <row r="961" ht="15.75" customHeight="1">
      <c r="B961" s="65"/>
      <c r="C961" s="65"/>
      <c r="D961" s="65"/>
      <c r="E961" s="66"/>
      <c r="F961" s="65"/>
      <c r="G961" s="67"/>
    </row>
    <row r="962" ht="15.75" customHeight="1">
      <c r="B962" s="65"/>
      <c r="C962" s="65"/>
      <c r="D962" s="65"/>
      <c r="E962" s="66"/>
      <c r="F962" s="65"/>
      <c r="G962" s="67"/>
    </row>
    <row r="963" ht="15.75" customHeight="1">
      <c r="B963" s="65"/>
      <c r="C963" s="65"/>
      <c r="D963" s="65"/>
      <c r="E963" s="66"/>
      <c r="F963" s="65"/>
      <c r="G963" s="67"/>
    </row>
    <row r="964" ht="15.75" customHeight="1">
      <c r="B964" s="65"/>
      <c r="C964" s="65"/>
      <c r="D964" s="65"/>
      <c r="E964" s="66"/>
      <c r="F964" s="65"/>
      <c r="G964" s="67"/>
    </row>
    <row r="965" ht="15.75" customHeight="1">
      <c r="B965" s="65"/>
      <c r="C965" s="65"/>
      <c r="D965" s="65"/>
      <c r="E965" s="66"/>
      <c r="F965" s="65"/>
      <c r="G965" s="67"/>
    </row>
    <row r="966" ht="15.75" customHeight="1">
      <c r="B966" s="65"/>
      <c r="C966" s="65"/>
      <c r="D966" s="65"/>
      <c r="E966" s="66"/>
      <c r="F966" s="65"/>
      <c r="G966" s="67"/>
    </row>
    <row r="967" ht="15.75" customHeight="1">
      <c r="B967" s="65"/>
      <c r="C967" s="65"/>
      <c r="D967" s="65"/>
      <c r="E967" s="66"/>
      <c r="F967" s="65"/>
      <c r="G967" s="67"/>
    </row>
    <row r="968" ht="15.75" customHeight="1">
      <c r="B968" s="65"/>
      <c r="C968" s="65"/>
      <c r="D968" s="65"/>
      <c r="E968" s="66"/>
      <c r="F968" s="65"/>
      <c r="G968" s="67"/>
    </row>
    <row r="969" ht="15.75" customHeight="1">
      <c r="B969" s="65"/>
      <c r="C969" s="65"/>
      <c r="D969" s="65"/>
      <c r="E969" s="66"/>
      <c r="F969" s="65"/>
      <c r="G969" s="67"/>
    </row>
    <row r="970" ht="15.75" customHeight="1">
      <c r="B970" s="65"/>
      <c r="C970" s="65"/>
      <c r="D970" s="65"/>
      <c r="E970" s="66"/>
      <c r="F970" s="65"/>
      <c r="G970" s="67"/>
    </row>
    <row r="971" ht="15.75" customHeight="1">
      <c r="B971" s="65"/>
      <c r="C971" s="65"/>
      <c r="D971" s="65"/>
      <c r="E971" s="66"/>
      <c r="F971" s="65"/>
      <c r="G971" s="67"/>
    </row>
    <row r="972" ht="15.75" customHeight="1">
      <c r="B972" s="65"/>
      <c r="C972" s="65"/>
      <c r="D972" s="65"/>
      <c r="E972" s="66"/>
      <c r="F972" s="65"/>
      <c r="G972" s="67"/>
    </row>
    <row r="973" ht="15.75" customHeight="1">
      <c r="B973" s="65"/>
      <c r="C973" s="65"/>
      <c r="D973" s="65"/>
      <c r="E973" s="66"/>
      <c r="F973" s="65"/>
      <c r="G973" s="67"/>
    </row>
    <row r="974" ht="15.75" customHeight="1">
      <c r="B974" s="65"/>
      <c r="C974" s="65"/>
      <c r="D974" s="65"/>
      <c r="E974" s="66"/>
      <c r="F974" s="65"/>
      <c r="G974" s="67"/>
    </row>
    <row r="975" ht="15.75" customHeight="1">
      <c r="B975" s="65"/>
      <c r="C975" s="65"/>
      <c r="D975" s="65"/>
      <c r="E975" s="66"/>
      <c r="F975" s="65"/>
      <c r="G975" s="67"/>
    </row>
    <row r="976" ht="15.75" customHeight="1">
      <c r="B976" s="65"/>
      <c r="C976" s="65"/>
      <c r="D976" s="65"/>
      <c r="E976" s="66"/>
      <c r="F976" s="65"/>
      <c r="G976" s="67"/>
    </row>
    <row r="977" ht="15.75" customHeight="1">
      <c r="B977" s="65"/>
      <c r="C977" s="65"/>
      <c r="D977" s="65"/>
      <c r="E977" s="66"/>
      <c r="F977" s="65"/>
      <c r="G977" s="67"/>
    </row>
    <row r="978" ht="15.75" customHeight="1">
      <c r="B978" s="65"/>
      <c r="C978" s="65"/>
      <c r="D978" s="65"/>
      <c r="E978" s="66"/>
      <c r="F978" s="65"/>
      <c r="G978" s="67"/>
    </row>
    <row r="979" ht="15.75" customHeight="1">
      <c r="B979" s="65"/>
      <c r="C979" s="65"/>
      <c r="D979" s="65"/>
      <c r="E979" s="66"/>
      <c r="F979" s="65"/>
      <c r="G979" s="67"/>
    </row>
    <row r="980" ht="15.75" customHeight="1">
      <c r="B980" s="65"/>
      <c r="C980" s="65"/>
      <c r="D980" s="65"/>
      <c r="E980" s="66"/>
      <c r="F980" s="65"/>
      <c r="G980" s="67"/>
    </row>
    <row r="981" ht="15.75" customHeight="1">
      <c r="B981" s="65"/>
      <c r="C981" s="65"/>
      <c r="D981" s="65"/>
      <c r="E981" s="66"/>
      <c r="F981" s="65"/>
      <c r="G981" s="67"/>
    </row>
    <row r="982" ht="15.75" customHeight="1">
      <c r="B982" s="65"/>
      <c r="C982" s="65"/>
      <c r="D982" s="65"/>
      <c r="E982" s="66"/>
      <c r="F982" s="65"/>
      <c r="G982" s="67"/>
    </row>
    <row r="983" ht="15.75" customHeight="1">
      <c r="B983" s="65"/>
      <c r="C983" s="65"/>
      <c r="D983" s="65"/>
      <c r="E983" s="66"/>
      <c r="F983" s="65"/>
      <c r="G983" s="67"/>
    </row>
    <row r="984" ht="15.75" customHeight="1">
      <c r="B984" s="65"/>
      <c r="C984" s="65"/>
      <c r="D984" s="65"/>
      <c r="E984" s="66"/>
      <c r="F984" s="65"/>
      <c r="G984" s="67"/>
    </row>
    <row r="985" ht="15.75" customHeight="1">
      <c r="B985" s="65"/>
      <c r="C985" s="65"/>
      <c r="D985" s="65"/>
      <c r="E985" s="66"/>
      <c r="F985" s="65"/>
      <c r="G985" s="67"/>
    </row>
    <row r="986" ht="15.75" customHeight="1">
      <c r="B986" s="65"/>
      <c r="C986" s="65"/>
      <c r="D986" s="65"/>
      <c r="E986" s="66"/>
      <c r="F986" s="65"/>
      <c r="G986" s="67"/>
    </row>
    <row r="987" ht="15.75" customHeight="1">
      <c r="B987" s="65"/>
      <c r="C987" s="65"/>
      <c r="D987" s="65"/>
      <c r="E987" s="66"/>
      <c r="F987" s="65"/>
      <c r="G987" s="67"/>
    </row>
    <row r="988" ht="15.75" customHeight="1">
      <c r="B988" s="65"/>
      <c r="C988" s="65"/>
      <c r="D988" s="65"/>
      <c r="E988" s="66"/>
      <c r="F988" s="65"/>
      <c r="G988" s="67"/>
    </row>
    <row r="989" ht="15.75" customHeight="1">
      <c r="B989" s="65"/>
      <c r="C989" s="65"/>
      <c r="D989" s="65"/>
      <c r="E989" s="66"/>
      <c r="F989" s="65"/>
      <c r="G989" s="67"/>
    </row>
    <row r="990" ht="15.75" customHeight="1">
      <c r="B990" s="65"/>
      <c r="C990" s="65"/>
      <c r="D990" s="65"/>
      <c r="E990" s="66"/>
      <c r="F990" s="65"/>
      <c r="G990" s="67"/>
    </row>
  </sheetData>
  <autoFilter ref="$A$1:$H$44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43"/>
    <col customWidth="1" min="2" max="2" width="41.0"/>
    <col customWidth="1" min="3" max="3" width="14.86"/>
    <col customWidth="1" min="4" max="4" width="22.29"/>
    <col customWidth="1" min="5" max="5" width="56.43"/>
    <col customWidth="1" min="6" max="6" width="39.14"/>
    <col customWidth="1" min="7" max="7" width="77.86"/>
    <col customWidth="1" min="8" max="8" width="18.71"/>
    <col customWidth="1" min="9" max="26" width="11.0"/>
  </cols>
  <sheetData>
    <row r="1">
      <c r="A1" s="20" t="s">
        <v>140</v>
      </c>
      <c r="B1" s="68" t="s">
        <v>141</v>
      </c>
      <c r="C1" s="68" t="s">
        <v>142</v>
      </c>
      <c r="D1" s="68" t="s">
        <v>143</v>
      </c>
      <c r="E1" s="69" t="s">
        <v>144</v>
      </c>
      <c r="F1" s="70" t="s">
        <v>145</v>
      </c>
      <c r="G1" s="71" t="s">
        <v>146</v>
      </c>
      <c r="H1" s="20" t="s">
        <v>147</v>
      </c>
    </row>
    <row r="2" ht="22.5" customHeight="1">
      <c r="A2" s="45" t="s">
        <v>2481</v>
      </c>
      <c r="B2" s="26">
        <v>5.521970482888E12</v>
      </c>
      <c r="C2" s="26" t="s">
        <v>149</v>
      </c>
      <c r="D2" s="26" t="s">
        <v>624</v>
      </c>
      <c r="E2" s="27" t="s">
        <v>2482</v>
      </c>
      <c r="F2" s="26" t="s">
        <v>196</v>
      </c>
      <c r="G2" s="25" t="s">
        <v>2483</v>
      </c>
      <c r="H2" s="114"/>
    </row>
    <row r="3" ht="22.5" customHeight="1">
      <c r="A3" s="45" t="s">
        <v>2484</v>
      </c>
      <c r="B3" s="26">
        <v>5.52136878108E11</v>
      </c>
      <c r="C3" s="26" t="s">
        <v>149</v>
      </c>
      <c r="D3" s="26" t="s">
        <v>624</v>
      </c>
      <c r="E3" s="27" t="s">
        <v>2485</v>
      </c>
      <c r="F3" s="26" t="s">
        <v>151</v>
      </c>
      <c r="G3" s="25" t="s">
        <v>2486</v>
      </c>
      <c r="H3" s="114"/>
    </row>
    <row r="4" ht="22.5" customHeight="1">
      <c r="A4" s="45" t="s">
        <v>2487</v>
      </c>
      <c r="B4" s="26">
        <v>5.52196775189E12</v>
      </c>
      <c r="C4" s="26" t="s">
        <v>149</v>
      </c>
      <c r="D4" s="26" t="s">
        <v>624</v>
      </c>
      <c r="E4" s="27" t="s">
        <v>2488</v>
      </c>
      <c r="F4" s="26" t="s">
        <v>196</v>
      </c>
      <c r="G4" s="25" t="s">
        <v>2489</v>
      </c>
      <c r="H4" s="114"/>
    </row>
    <row r="5" ht="22.5" customHeight="1">
      <c r="A5" s="47" t="s">
        <v>1259</v>
      </c>
      <c r="B5" s="31">
        <v>5.598984008159E12</v>
      </c>
      <c r="C5" s="31" t="s">
        <v>319</v>
      </c>
      <c r="D5" s="31" t="s">
        <v>320</v>
      </c>
      <c r="E5" s="32" t="s">
        <v>2236</v>
      </c>
      <c r="F5" s="31" t="s">
        <v>151</v>
      </c>
      <c r="G5" s="33" t="s">
        <v>1260</v>
      </c>
      <c r="H5" s="114"/>
    </row>
    <row r="6" ht="22.5" customHeight="1">
      <c r="A6" s="51" t="s">
        <v>2490</v>
      </c>
      <c r="B6" s="26">
        <v>5.585981748969E12</v>
      </c>
      <c r="C6" s="26" t="s">
        <v>205</v>
      </c>
      <c r="D6" s="26" t="s">
        <v>206</v>
      </c>
      <c r="E6" s="27" t="s">
        <v>2491</v>
      </c>
      <c r="F6" s="26" t="s">
        <v>2237</v>
      </c>
      <c r="G6" s="25" t="s">
        <v>2492</v>
      </c>
      <c r="H6" s="54" t="s">
        <v>2176</v>
      </c>
    </row>
    <row r="7" ht="22.5" customHeight="1">
      <c r="A7" s="28" t="s">
        <v>2493</v>
      </c>
      <c r="B7" s="26">
        <v>5.585981748969E12</v>
      </c>
      <c r="C7" s="26" t="s">
        <v>205</v>
      </c>
      <c r="D7" s="26" t="s">
        <v>206</v>
      </c>
      <c r="E7" s="27" t="s">
        <v>2494</v>
      </c>
      <c r="F7" s="26" t="s">
        <v>2237</v>
      </c>
      <c r="G7" s="25" t="s">
        <v>2492</v>
      </c>
      <c r="H7" s="54" t="s">
        <v>2176</v>
      </c>
    </row>
    <row r="8" ht="22.5" customHeight="1">
      <c r="A8" s="28" t="s">
        <v>2495</v>
      </c>
      <c r="B8" s="26" t="s">
        <v>2496</v>
      </c>
      <c r="C8" s="26" t="s">
        <v>149</v>
      </c>
      <c r="D8" s="26" t="s">
        <v>624</v>
      </c>
      <c r="E8" s="27" t="s">
        <v>2497</v>
      </c>
      <c r="F8" s="26" t="s">
        <v>151</v>
      </c>
      <c r="G8" s="25" t="s">
        <v>2498</v>
      </c>
      <c r="H8" s="115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22.5" customHeight="1">
      <c r="A9" s="28" t="s">
        <v>2499</v>
      </c>
      <c r="B9" s="26">
        <v>5.52134424141E11</v>
      </c>
      <c r="C9" s="26" t="s">
        <v>149</v>
      </c>
      <c r="D9" s="26" t="s">
        <v>2382</v>
      </c>
      <c r="E9" s="27" t="s">
        <v>2497</v>
      </c>
      <c r="F9" s="26" t="s">
        <v>151</v>
      </c>
      <c r="G9" s="25" t="s">
        <v>2500</v>
      </c>
      <c r="H9" s="114"/>
    </row>
    <row r="10" ht="22.5" customHeight="1">
      <c r="A10" s="28" t="s">
        <v>2501</v>
      </c>
      <c r="B10" s="26">
        <v>5.52134424141E11</v>
      </c>
      <c r="C10" s="26" t="s">
        <v>149</v>
      </c>
      <c r="D10" s="26" t="s">
        <v>2502</v>
      </c>
      <c r="E10" s="27" t="s">
        <v>2497</v>
      </c>
      <c r="F10" s="26" t="s">
        <v>151</v>
      </c>
      <c r="G10" s="25" t="s">
        <v>2503</v>
      </c>
      <c r="H10" s="114"/>
    </row>
    <row r="11" ht="22.5" customHeight="1">
      <c r="A11" s="25" t="s">
        <v>2504</v>
      </c>
      <c r="B11" s="26">
        <v>5.512996478147E12</v>
      </c>
      <c r="C11" s="26" t="s">
        <v>155</v>
      </c>
      <c r="D11" s="26" t="s">
        <v>2505</v>
      </c>
      <c r="E11" s="27" t="s">
        <v>2195</v>
      </c>
      <c r="F11" s="26" t="s">
        <v>196</v>
      </c>
      <c r="G11" s="25" t="s">
        <v>2506</v>
      </c>
      <c r="H11" s="114"/>
    </row>
    <row r="12" ht="22.5" customHeight="1">
      <c r="A12" s="25" t="s">
        <v>1343</v>
      </c>
      <c r="B12" s="31">
        <v>5.54734223132E11</v>
      </c>
      <c r="C12" s="31" t="s">
        <v>160</v>
      </c>
      <c r="D12" s="31" t="s">
        <v>381</v>
      </c>
      <c r="E12" s="32" t="s">
        <v>2223</v>
      </c>
      <c r="F12" s="31" t="s">
        <v>151</v>
      </c>
      <c r="G12" s="33" t="s">
        <v>1345</v>
      </c>
      <c r="H12" s="114"/>
    </row>
    <row r="13" ht="22.5" customHeight="1">
      <c r="A13" s="107" t="s">
        <v>526</v>
      </c>
      <c r="B13" s="26">
        <v>5.5483233183E11</v>
      </c>
      <c r="C13" s="26" t="s">
        <v>160</v>
      </c>
      <c r="D13" s="26" t="s">
        <v>327</v>
      </c>
      <c r="E13" s="27" t="s">
        <v>2268</v>
      </c>
      <c r="F13" s="26" t="s">
        <v>151</v>
      </c>
      <c r="G13" s="25" t="s">
        <v>529</v>
      </c>
      <c r="H13" s="114"/>
    </row>
    <row r="14" ht="22.5" customHeight="1">
      <c r="A14" s="28" t="s">
        <v>2507</v>
      </c>
      <c r="B14" s="26">
        <v>5.58496568765E11</v>
      </c>
      <c r="C14" s="26" t="s">
        <v>544</v>
      </c>
      <c r="D14" s="26" t="s">
        <v>1068</v>
      </c>
      <c r="E14" s="27" t="s">
        <v>2508</v>
      </c>
      <c r="F14" s="26"/>
      <c r="G14" s="25" t="s">
        <v>2509</v>
      </c>
      <c r="H14" s="114"/>
    </row>
    <row r="15" ht="22.5" customHeight="1">
      <c r="A15" s="28" t="s">
        <v>2510</v>
      </c>
      <c r="B15" s="26">
        <v>5.58496568765E11</v>
      </c>
      <c r="C15" s="26" t="s">
        <v>544</v>
      </c>
      <c r="D15" s="26" t="s">
        <v>1068</v>
      </c>
      <c r="E15" s="27" t="s">
        <v>2511</v>
      </c>
      <c r="F15" s="26"/>
      <c r="G15" s="25" t="s">
        <v>2509</v>
      </c>
      <c r="H15" s="54"/>
    </row>
    <row r="16" ht="22.5" customHeight="1">
      <c r="A16" s="25" t="s">
        <v>2512</v>
      </c>
      <c r="B16" s="26">
        <v>5.522998841747E12</v>
      </c>
      <c r="C16" s="26" t="s">
        <v>149</v>
      </c>
      <c r="D16" s="26" t="s">
        <v>779</v>
      </c>
      <c r="E16" s="27" t="s">
        <v>2265</v>
      </c>
      <c r="F16" s="26" t="s">
        <v>196</v>
      </c>
      <c r="G16" s="25" t="s">
        <v>2513</v>
      </c>
      <c r="H16" s="114"/>
    </row>
    <row r="17" ht="22.5" customHeight="1">
      <c r="A17" s="57"/>
      <c r="B17" s="29"/>
      <c r="C17" s="26"/>
      <c r="D17" s="26"/>
      <c r="E17" s="27"/>
      <c r="F17" s="26"/>
      <c r="G17" s="25"/>
      <c r="H17" s="114"/>
    </row>
    <row r="18" ht="22.5" customHeight="1">
      <c r="A18" s="25"/>
      <c r="B18" s="29"/>
      <c r="C18" s="26"/>
      <c r="D18" s="26"/>
      <c r="E18" s="27"/>
      <c r="F18" s="26"/>
      <c r="G18" s="25"/>
      <c r="H18" s="114"/>
    </row>
    <row r="19" ht="22.5" customHeight="1">
      <c r="A19" s="25"/>
      <c r="B19" s="29"/>
      <c r="C19" s="26"/>
      <c r="D19" s="26"/>
      <c r="E19" s="27"/>
      <c r="F19" s="26"/>
      <c r="G19" s="25"/>
      <c r="H19" s="114"/>
    </row>
    <row r="20" ht="22.5" customHeight="1">
      <c r="A20" s="25"/>
      <c r="B20" s="26"/>
      <c r="C20" s="26"/>
      <c r="D20" s="26"/>
      <c r="E20" s="27"/>
      <c r="F20" s="26"/>
      <c r="G20" s="25"/>
      <c r="H20" s="114"/>
    </row>
    <row r="21" ht="22.5" customHeight="1">
      <c r="A21" s="25"/>
      <c r="B21" s="29"/>
      <c r="C21" s="26"/>
      <c r="D21" s="26"/>
      <c r="E21" s="27"/>
      <c r="F21" s="26"/>
      <c r="G21" s="25"/>
      <c r="H21" s="114"/>
    </row>
    <row r="22" ht="22.5" customHeight="1">
      <c r="A22" s="25"/>
      <c r="B22" s="26"/>
      <c r="C22" s="26"/>
      <c r="D22" s="26"/>
      <c r="E22" s="27"/>
      <c r="F22" s="26"/>
      <c r="G22" s="25"/>
      <c r="H22" s="54"/>
    </row>
    <row r="23" ht="22.5" customHeight="1">
      <c r="A23" s="25"/>
      <c r="B23" s="29"/>
      <c r="C23" s="26"/>
      <c r="D23" s="26"/>
      <c r="E23" s="27"/>
      <c r="F23" s="26"/>
      <c r="G23" s="25"/>
      <c r="H23" s="54"/>
    </row>
    <row r="24" ht="22.5" customHeight="1">
      <c r="A24" s="74"/>
      <c r="B24" s="36"/>
      <c r="C24" s="31"/>
      <c r="D24" s="31"/>
      <c r="E24" s="32"/>
      <c r="F24" s="31"/>
      <c r="G24" s="33"/>
      <c r="H24" s="114"/>
    </row>
    <row r="25" ht="22.5" customHeight="1">
      <c r="A25" s="74"/>
      <c r="B25" s="31"/>
      <c r="C25" s="31"/>
      <c r="D25" s="31"/>
      <c r="E25" s="32"/>
      <c r="F25" s="31"/>
      <c r="G25" s="33"/>
      <c r="H25" s="114"/>
    </row>
    <row r="26" ht="22.5" customHeight="1">
      <c r="A26" s="34"/>
      <c r="B26" s="31"/>
      <c r="C26" s="31"/>
      <c r="D26" s="31"/>
      <c r="E26" s="32"/>
      <c r="F26" s="31"/>
      <c r="G26" s="33"/>
      <c r="H26" s="114"/>
    </row>
    <row r="27" ht="22.5" customHeight="1">
      <c r="A27" s="44"/>
      <c r="B27" s="31"/>
      <c r="C27" s="94"/>
      <c r="D27" s="94"/>
      <c r="E27" s="95"/>
      <c r="F27" s="94"/>
      <c r="G27" s="96"/>
      <c r="H27" s="114"/>
    </row>
    <row r="28" ht="22.5" customHeight="1">
      <c r="A28" s="25"/>
      <c r="B28" s="26"/>
      <c r="C28" s="31"/>
      <c r="D28" s="31"/>
      <c r="E28" s="32"/>
      <c r="F28" s="31"/>
      <c r="G28" s="33"/>
      <c r="H28" s="114"/>
    </row>
    <row r="29" ht="22.5" customHeight="1">
      <c r="A29" s="25"/>
      <c r="B29" s="31"/>
      <c r="C29" s="31"/>
      <c r="D29" s="31"/>
      <c r="E29" s="32"/>
      <c r="F29" s="31"/>
      <c r="G29" s="33"/>
      <c r="H29" s="114"/>
    </row>
    <row r="30" ht="22.5" customHeight="1">
      <c r="A30" s="25"/>
      <c r="B30" s="26"/>
      <c r="C30" s="31"/>
      <c r="D30" s="31"/>
      <c r="E30" s="32"/>
      <c r="F30" s="31"/>
      <c r="G30" s="33"/>
      <c r="H30" s="114"/>
    </row>
    <row r="31" ht="22.5" customHeight="1">
      <c r="A31" s="62"/>
      <c r="B31" s="31"/>
      <c r="C31" s="31"/>
      <c r="D31" s="31"/>
      <c r="E31" s="32"/>
      <c r="F31" s="31"/>
      <c r="G31" s="33"/>
      <c r="H31" s="114"/>
    </row>
    <row r="32" ht="22.5" customHeight="1">
      <c r="A32" s="25"/>
      <c r="B32" s="26"/>
      <c r="C32" s="31"/>
      <c r="D32" s="31"/>
      <c r="E32" s="32"/>
      <c r="F32" s="31"/>
      <c r="G32" s="33"/>
      <c r="H32" s="114"/>
    </row>
    <row r="33" ht="22.5" customHeight="1">
      <c r="A33" s="25"/>
      <c r="B33" s="31"/>
      <c r="C33" s="31"/>
      <c r="D33" s="31"/>
      <c r="E33" s="32"/>
      <c r="F33" s="31"/>
      <c r="G33" s="33"/>
      <c r="H33" s="114"/>
    </row>
    <row r="34" ht="22.5" customHeight="1">
      <c r="A34" s="25"/>
      <c r="B34" s="26"/>
      <c r="C34" s="31"/>
      <c r="D34" s="31"/>
      <c r="E34" s="32"/>
      <c r="F34" s="31"/>
      <c r="G34" s="33"/>
      <c r="H34" s="114"/>
    </row>
    <row r="35" ht="22.5" customHeight="1">
      <c r="A35" s="83"/>
      <c r="B35" s="97"/>
      <c r="C35" s="98"/>
      <c r="D35" s="98"/>
      <c r="E35" s="99"/>
      <c r="F35" s="98"/>
      <c r="G35" s="100"/>
      <c r="H35" s="63"/>
    </row>
    <row r="36" ht="22.5" customHeight="1">
      <c r="A36" s="83"/>
      <c r="B36" s="97"/>
      <c r="C36" s="98"/>
      <c r="D36" s="98"/>
      <c r="E36" s="99"/>
      <c r="F36" s="98"/>
      <c r="G36" s="100"/>
      <c r="H36" s="63"/>
    </row>
    <row r="37" ht="22.5" customHeight="1">
      <c r="A37" s="101"/>
      <c r="B37" s="58"/>
      <c r="C37" s="98"/>
      <c r="D37" s="98"/>
      <c r="E37" s="99"/>
      <c r="F37" s="98"/>
      <c r="G37" s="100"/>
      <c r="H37" s="63"/>
    </row>
    <row r="38" ht="22.5" customHeight="1">
      <c r="A38" s="102"/>
      <c r="B38" s="58"/>
      <c r="C38" s="98"/>
      <c r="D38" s="98"/>
      <c r="E38" s="99"/>
      <c r="F38" s="98"/>
      <c r="G38" s="100"/>
      <c r="H38" s="63"/>
    </row>
    <row r="39" ht="22.5" customHeight="1">
      <c r="A39" s="83"/>
      <c r="B39" s="58"/>
      <c r="C39" s="98"/>
      <c r="D39" s="98"/>
      <c r="E39" s="99"/>
      <c r="F39" s="98"/>
      <c r="G39" s="100"/>
      <c r="H39" s="63"/>
    </row>
    <row r="40" ht="22.5" customHeight="1">
      <c r="A40" s="102"/>
      <c r="B40" s="58"/>
      <c r="C40" s="98"/>
      <c r="D40" s="98"/>
      <c r="E40" s="99"/>
      <c r="F40" s="98"/>
      <c r="G40" s="100"/>
      <c r="H40" s="63"/>
    </row>
    <row r="41" ht="22.5" customHeight="1">
      <c r="A41" s="83"/>
      <c r="B41" s="98"/>
      <c r="C41" s="98"/>
      <c r="D41" s="98"/>
      <c r="E41" s="99"/>
      <c r="F41" s="98"/>
      <c r="G41" s="100"/>
      <c r="H41" s="63"/>
    </row>
    <row r="42" ht="22.5" customHeight="1">
      <c r="A42" s="103"/>
      <c r="B42" s="98"/>
      <c r="C42" s="104"/>
      <c r="D42" s="104"/>
      <c r="E42" s="105"/>
      <c r="F42" s="104"/>
      <c r="G42" s="106"/>
      <c r="H42" s="63"/>
    </row>
    <row r="43" ht="22.5" customHeight="1">
      <c r="A43" s="100"/>
      <c r="B43" s="98"/>
      <c r="C43" s="104"/>
      <c r="D43" s="104"/>
      <c r="E43" s="105"/>
      <c r="F43" s="104"/>
      <c r="G43" s="106"/>
      <c r="H43" s="63"/>
    </row>
    <row r="44" ht="22.5" customHeight="1">
      <c r="A44" s="104"/>
      <c r="B44" s="104"/>
      <c r="C44" s="104"/>
      <c r="D44" s="104"/>
      <c r="E44" s="105"/>
      <c r="F44" s="104"/>
      <c r="G44" s="106"/>
      <c r="H44" s="63"/>
    </row>
    <row r="45" ht="22.5" customHeight="1">
      <c r="A45" s="104"/>
      <c r="B45" s="104"/>
      <c r="C45" s="104"/>
      <c r="D45" s="104"/>
      <c r="E45" s="105"/>
      <c r="F45" s="104"/>
      <c r="G45" s="106"/>
      <c r="H45" s="63"/>
    </row>
    <row r="46" ht="22.5" customHeight="1">
      <c r="A46" s="104"/>
      <c r="B46" s="104"/>
      <c r="C46" s="104"/>
      <c r="D46" s="104"/>
      <c r="E46" s="105"/>
      <c r="F46" s="104"/>
      <c r="G46" s="106"/>
      <c r="H46" s="63"/>
    </row>
    <row r="47" ht="22.5" customHeight="1">
      <c r="A47" s="104"/>
      <c r="B47" s="104"/>
      <c r="C47" s="104"/>
      <c r="D47" s="104"/>
      <c r="E47" s="105"/>
      <c r="F47" s="104"/>
      <c r="G47" s="106"/>
      <c r="H47" s="63"/>
    </row>
    <row r="48" ht="22.5" customHeight="1">
      <c r="A48" s="104"/>
      <c r="B48" s="104"/>
      <c r="C48" s="104"/>
      <c r="D48" s="104"/>
      <c r="E48" s="105"/>
      <c r="F48" s="104"/>
      <c r="G48" s="106"/>
      <c r="H48" s="63"/>
    </row>
    <row r="49" ht="22.5" customHeight="1">
      <c r="A49" s="104"/>
      <c r="B49" s="104"/>
      <c r="C49" s="104"/>
      <c r="D49" s="104"/>
      <c r="E49" s="105"/>
      <c r="F49" s="104"/>
      <c r="G49" s="106"/>
      <c r="H49" s="63"/>
    </row>
    <row r="50" ht="22.5" customHeight="1">
      <c r="A50" s="104"/>
      <c r="B50" s="104"/>
      <c r="C50" s="104"/>
      <c r="D50" s="104"/>
      <c r="E50" s="105"/>
      <c r="F50" s="104"/>
      <c r="G50" s="106"/>
      <c r="H50" s="63"/>
    </row>
    <row r="51" ht="22.5" customHeight="1">
      <c r="A51" s="104"/>
      <c r="B51" s="104"/>
      <c r="C51" s="104"/>
      <c r="D51" s="104"/>
      <c r="E51" s="105"/>
      <c r="F51" s="104"/>
      <c r="G51" s="106"/>
      <c r="H51" s="63"/>
    </row>
    <row r="52" ht="22.5" customHeight="1">
      <c r="A52" s="104"/>
      <c r="B52" s="104"/>
      <c r="C52" s="104"/>
      <c r="D52" s="104"/>
      <c r="E52" s="105"/>
      <c r="F52" s="104"/>
      <c r="G52" s="106"/>
      <c r="H52" s="63"/>
    </row>
    <row r="53" ht="22.5" customHeight="1">
      <c r="A53" s="104"/>
      <c r="B53" s="104"/>
      <c r="C53" s="104"/>
      <c r="D53" s="104"/>
      <c r="E53" s="105"/>
      <c r="F53" s="104"/>
      <c r="G53" s="106"/>
      <c r="H53" s="63"/>
    </row>
    <row r="54" ht="22.5" customHeight="1">
      <c r="A54" s="104"/>
      <c r="B54" s="104"/>
      <c r="C54" s="104"/>
      <c r="D54" s="104"/>
      <c r="E54" s="105"/>
      <c r="F54" s="104"/>
      <c r="G54" s="106"/>
      <c r="H54" s="63"/>
    </row>
    <row r="55" ht="22.5" customHeight="1">
      <c r="A55" s="104"/>
      <c r="B55" s="104"/>
      <c r="C55" s="104"/>
      <c r="D55" s="104"/>
      <c r="E55" s="105"/>
      <c r="F55" s="104"/>
      <c r="G55" s="106"/>
      <c r="H55" s="63"/>
    </row>
    <row r="56" ht="22.5" customHeight="1">
      <c r="A56" s="104"/>
      <c r="B56" s="104"/>
      <c r="C56" s="104"/>
      <c r="D56" s="104"/>
      <c r="E56" s="105"/>
      <c r="F56" s="104"/>
      <c r="G56" s="106"/>
      <c r="H56" s="63"/>
    </row>
    <row r="57" ht="22.5" customHeight="1">
      <c r="A57" s="104"/>
      <c r="B57" s="104"/>
      <c r="C57" s="104"/>
      <c r="D57" s="104"/>
      <c r="E57" s="105"/>
      <c r="F57" s="104"/>
      <c r="G57" s="106"/>
      <c r="H57" s="63"/>
    </row>
    <row r="58" ht="22.5" customHeight="1">
      <c r="A58" s="104"/>
      <c r="B58" s="104"/>
      <c r="C58" s="104"/>
      <c r="D58" s="104"/>
      <c r="E58" s="105"/>
      <c r="F58" s="104"/>
      <c r="G58" s="106"/>
      <c r="H58" s="63"/>
    </row>
    <row r="59" ht="22.5" customHeight="1">
      <c r="A59" s="104"/>
      <c r="B59" s="104"/>
      <c r="C59" s="104"/>
      <c r="D59" s="104"/>
      <c r="E59" s="105"/>
      <c r="F59" s="104"/>
      <c r="G59" s="106"/>
      <c r="H59" s="63"/>
    </row>
    <row r="60" ht="22.5" customHeight="1">
      <c r="A60" s="104"/>
      <c r="B60" s="104"/>
      <c r="C60" s="104"/>
      <c r="D60" s="104"/>
      <c r="E60" s="105"/>
      <c r="F60" s="104"/>
      <c r="G60" s="106"/>
      <c r="H60" s="63"/>
    </row>
    <row r="61" ht="22.5" customHeight="1">
      <c r="A61" s="104"/>
      <c r="B61" s="104"/>
      <c r="C61" s="104"/>
      <c r="D61" s="104"/>
      <c r="E61" s="105"/>
      <c r="F61" s="104"/>
      <c r="G61" s="106"/>
      <c r="H61" s="63"/>
    </row>
    <row r="62" ht="22.5" customHeight="1">
      <c r="A62" s="104"/>
      <c r="B62" s="104"/>
      <c r="C62" s="104"/>
      <c r="D62" s="104"/>
      <c r="E62" s="105"/>
      <c r="F62" s="104"/>
      <c r="G62" s="106"/>
      <c r="H62" s="63"/>
    </row>
    <row r="63" ht="22.5" customHeight="1">
      <c r="A63" s="104"/>
      <c r="B63" s="104"/>
      <c r="C63" s="104"/>
      <c r="D63" s="104"/>
      <c r="E63" s="105"/>
      <c r="F63" s="104"/>
      <c r="G63" s="106"/>
      <c r="H63" s="63"/>
    </row>
    <row r="64" ht="15.75" customHeight="1">
      <c r="B64" s="65"/>
      <c r="C64" s="65"/>
      <c r="D64" s="65"/>
      <c r="E64" s="66"/>
      <c r="F64" s="65"/>
      <c r="G64" s="67"/>
    </row>
    <row r="65" ht="15.75" customHeight="1">
      <c r="B65" s="65"/>
      <c r="C65" s="65"/>
      <c r="D65" s="65"/>
      <c r="E65" s="66"/>
      <c r="F65" s="65"/>
      <c r="G65" s="67"/>
    </row>
    <row r="66" ht="15.75" customHeight="1">
      <c r="B66" s="65"/>
      <c r="C66" s="65"/>
      <c r="D66" s="65"/>
      <c r="E66" s="66"/>
      <c r="F66" s="65"/>
      <c r="G66" s="67"/>
    </row>
    <row r="67" ht="15.75" customHeight="1">
      <c r="B67" s="65"/>
      <c r="C67" s="65"/>
      <c r="D67" s="65"/>
      <c r="E67" s="66"/>
      <c r="F67" s="65"/>
      <c r="G67" s="67"/>
    </row>
    <row r="68" ht="15.75" customHeight="1">
      <c r="B68" s="65"/>
      <c r="C68" s="65"/>
      <c r="D68" s="65"/>
      <c r="E68" s="66"/>
      <c r="F68" s="65"/>
      <c r="G68" s="67"/>
    </row>
    <row r="69" ht="15.75" customHeight="1">
      <c r="B69" s="65"/>
      <c r="C69" s="65"/>
      <c r="D69" s="65"/>
      <c r="E69" s="66"/>
      <c r="F69" s="65"/>
      <c r="G69" s="67"/>
    </row>
    <row r="70" ht="15.75" customHeight="1">
      <c r="B70" s="65"/>
      <c r="C70" s="65"/>
      <c r="D70" s="65"/>
      <c r="E70" s="66"/>
      <c r="F70" s="65"/>
      <c r="G70" s="67"/>
    </row>
    <row r="71" ht="15.75" customHeight="1">
      <c r="B71" s="65"/>
      <c r="C71" s="65"/>
      <c r="D71" s="65"/>
      <c r="E71" s="66"/>
      <c r="F71" s="65"/>
      <c r="G71" s="67"/>
    </row>
    <row r="72" ht="15.75" customHeight="1">
      <c r="B72" s="65"/>
      <c r="C72" s="65"/>
      <c r="D72" s="65"/>
      <c r="E72" s="66"/>
      <c r="F72" s="65"/>
      <c r="G72" s="67"/>
    </row>
    <row r="73" ht="15.75" customHeight="1">
      <c r="B73" s="65"/>
      <c r="C73" s="65"/>
      <c r="D73" s="65"/>
      <c r="E73" s="66"/>
      <c r="F73" s="65"/>
      <c r="G73" s="67"/>
    </row>
    <row r="74" ht="15.75" customHeight="1">
      <c r="B74" s="65"/>
      <c r="C74" s="65"/>
      <c r="D74" s="65"/>
      <c r="E74" s="66"/>
      <c r="F74" s="65"/>
      <c r="G74" s="67"/>
    </row>
    <row r="75" ht="15.75" customHeight="1">
      <c r="B75" s="65"/>
      <c r="C75" s="65"/>
      <c r="D75" s="65"/>
      <c r="E75" s="66"/>
      <c r="F75" s="65"/>
      <c r="G75" s="67"/>
    </row>
    <row r="76" ht="15.75" customHeight="1">
      <c r="B76" s="65"/>
      <c r="C76" s="65"/>
      <c r="D76" s="65"/>
      <c r="E76" s="66"/>
      <c r="F76" s="65"/>
      <c r="G76" s="67"/>
    </row>
    <row r="77" ht="15.75" customHeight="1">
      <c r="B77" s="65"/>
      <c r="C77" s="65"/>
      <c r="D77" s="65"/>
      <c r="E77" s="66"/>
      <c r="F77" s="65"/>
      <c r="G77" s="67"/>
    </row>
    <row r="78" ht="15.75" customHeight="1">
      <c r="B78" s="65"/>
      <c r="C78" s="65"/>
      <c r="D78" s="65"/>
      <c r="E78" s="66"/>
      <c r="F78" s="65"/>
      <c r="G78" s="67"/>
    </row>
    <row r="79" ht="15.75" customHeight="1">
      <c r="B79" s="65"/>
      <c r="C79" s="65"/>
      <c r="D79" s="65"/>
      <c r="E79" s="66"/>
      <c r="F79" s="65"/>
      <c r="G79" s="67"/>
    </row>
    <row r="80" ht="15.75" customHeight="1">
      <c r="B80" s="65"/>
      <c r="C80" s="65"/>
      <c r="D80" s="65"/>
      <c r="E80" s="66"/>
      <c r="F80" s="65"/>
      <c r="G80" s="67"/>
    </row>
    <row r="81" ht="15.75" customHeight="1">
      <c r="B81" s="65"/>
      <c r="C81" s="65"/>
      <c r="D81" s="65"/>
      <c r="E81" s="66"/>
      <c r="F81" s="65"/>
      <c r="G81" s="67"/>
    </row>
    <row r="82" ht="15.75" customHeight="1">
      <c r="B82" s="65"/>
      <c r="C82" s="65"/>
      <c r="D82" s="65"/>
      <c r="E82" s="66"/>
      <c r="F82" s="65"/>
      <c r="G82" s="67"/>
    </row>
    <row r="83" ht="15.75" customHeight="1">
      <c r="B83" s="65"/>
      <c r="C83" s="65"/>
      <c r="D83" s="65"/>
      <c r="E83" s="66"/>
      <c r="F83" s="65"/>
      <c r="G83" s="67"/>
    </row>
    <row r="84" ht="15.75" customHeight="1">
      <c r="B84" s="65"/>
      <c r="C84" s="65"/>
      <c r="D84" s="65"/>
      <c r="E84" s="66"/>
      <c r="F84" s="65"/>
      <c r="G84" s="67"/>
    </row>
    <row r="85" ht="15.75" customHeight="1">
      <c r="B85" s="65"/>
      <c r="C85" s="65"/>
      <c r="D85" s="65"/>
      <c r="E85" s="66"/>
      <c r="F85" s="65"/>
      <c r="G85" s="67"/>
    </row>
    <row r="86" ht="15.75" customHeight="1">
      <c r="B86" s="65"/>
      <c r="C86" s="65"/>
      <c r="D86" s="65"/>
      <c r="E86" s="66"/>
      <c r="F86" s="65"/>
      <c r="G86" s="67"/>
    </row>
    <row r="87" ht="15.75" customHeight="1">
      <c r="B87" s="65"/>
      <c r="C87" s="65"/>
      <c r="D87" s="65"/>
      <c r="E87" s="66"/>
      <c r="F87" s="65"/>
      <c r="G87" s="67"/>
    </row>
    <row r="88" ht="15.75" customHeight="1">
      <c r="B88" s="65"/>
      <c r="C88" s="65"/>
      <c r="D88" s="65"/>
      <c r="E88" s="66"/>
      <c r="F88" s="65"/>
      <c r="G88" s="67"/>
    </row>
    <row r="89" ht="15.75" customHeight="1">
      <c r="B89" s="65"/>
      <c r="C89" s="65"/>
      <c r="D89" s="65"/>
      <c r="E89" s="66"/>
      <c r="F89" s="65"/>
      <c r="G89" s="67"/>
    </row>
    <row r="90" ht="15.75" customHeight="1">
      <c r="B90" s="65"/>
      <c r="C90" s="65"/>
      <c r="D90" s="65"/>
      <c r="E90" s="66"/>
      <c r="F90" s="65"/>
      <c r="G90" s="67"/>
    </row>
    <row r="91" ht="15.75" customHeight="1">
      <c r="B91" s="65"/>
      <c r="C91" s="65"/>
      <c r="D91" s="65"/>
      <c r="E91" s="66"/>
      <c r="F91" s="65"/>
      <c r="G91" s="67"/>
    </row>
    <row r="92" ht="15.75" customHeight="1">
      <c r="B92" s="65"/>
      <c r="C92" s="65"/>
      <c r="D92" s="65"/>
      <c r="E92" s="66"/>
      <c r="F92" s="65"/>
      <c r="G92" s="67"/>
    </row>
    <row r="93" ht="15.75" customHeight="1">
      <c r="B93" s="65"/>
      <c r="C93" s="65"/>
      <c r="D93" s="65"/>
      <c r="E93" s="66"/>
      <c r="F93" s="65"/>
      <c r="G93" s="67"/>
    </row>
    <row r="94" ht="15.75" customHeight="1">
      <c r="B94" s="65"/>
      <c r="C94" s="65"/>
      <c r="D94" s="65"/>
      <c r="E94" s="66"/>
      <c r="F94" s="65"/>
      <c r="G94" s="67"/>
    </row>
    <row r="95" ht="15.75" customHeight="1">
      <c r="B95" s="65"/>
      <c r="C95" s="65"/>
      <c r="D95" s="65"/>
      <c r="E95" s="66"/>
      <c r="F95" s="65"/>
      <c r="G95" s="67"/>
    </row>
    <row r="96" ht="15.75" customHeight="1">
      <c r="B96" s="65"/>
      <c r="C96" s="65"/>
      <c r="D96" s="65"/>
      <c r="E96" s="66"/>
      <c r="F96" s="65"/>
      <c r="G96" s="67"/>
    </row>
    <row r="97" ht="15.75" customHeight="1">
      <c r="B97" s="65"/>
      <c r="C97" s="65"/>
      <c r="D97" s="65"/>
      <c r="E97" s="66"/>
      <c r="F97" s="65"/>
      <c r="G97" s="67"/>
    </row>
    <row r="98" ht="15.75" customHeight="1">
      <c r="B98" s="65"/>
      <c r="C98" s="65"/>
      <c r="D98" s="65"/>
      <c r="E98" s="66"/>
      <c r="F98" s="65"/>
      <c r="G98" s="67"/>
    </row>
    <row r="99" ht="15.75" customHeight="1">
      <c r="B99" s="65"/>
      <c r="C99" s="65"/>
      <c r="D99" s="65"/>
      <c r="E99" s="66"/>
      <c r="F99" s="65"/>
      <c r="G99" s="67"/>
    </row>
    <row r="100" ht="15.75" customHeight="1">
      <c r="B100" s="65"/>
      <c r="C100" s="65"/>
      <c r="D100" s="65"/>
      <c r="E100" s="66"/>
      <c r="F100" s="65"/>
      <c r="G100" s="67"/>
    </row>
    <row r="101" ht="15.75" customHeight="1">
      <c r="B101" s="65"/>
      <c r="C101" s="65"/>
      <c r="D101" s="65"/>
      <c r="E101" s="66"/>
      <c r="F101" s="65"/>
      <c r="G101" s="67"/>
    </row>
    <row r="102" ht="15.75" customHeight="1">
      <c r="B102" s="65"/>
      <c r="C102" s="65"/>
      <c r="D102" s="65"/>
      <c r="E102" s="66"/>
      <c r="F102" s="65"/>
      <c r="G102" s="67"/>
    </row>
    <row r="103" ht="15.75" customHeight="1">
      <c r="B103" s="65"/>
      <c r="C103" s="65"/>
      <c r="D103" s="65"/>
      <c r="E103" s="66"/>
      <c r="F103" s="65"/>
      <c r="G103" s="67"/>
    </row>
    <row r="104" ht="15.75" customHeight="1">
      <c r="B104" s="65"/>
      <c r="C104" s="65"/>
      <c r="D104" s="65"/>
      <c r="E104" s="66"/>
      <c r="F104" s="65"/>
      <c r="G104" s="67"/>
    </row>
    <row r="105" ht="15.75" customHeight="1">
      <c r="B105" s="65"/>
      <c r="C105" s="65"/>
      <c r="D105" s="65"/>
      <c r="E105" s="66"/>
      <c r="F105" s="65"/>
      <c r="G105" s="67"/>
    </row>
    <row r="106" ht="15.75" customHeight="1">
      <c r="B106" s="65"/>
      <c r="C106" s="65"/>
      <c r="D106" s="65"/>
      <c r="E106" s="66"/>
      <c r="F106" s="65"/>
      <c r="G106" s="67"/>
    </row>
    <row r="107" ht="15.75" customHeight="1">
      <c r="B107" s="65"/>
      <c r="C107" s="65"/>
      <c r="D107" s="65"/>
      <c r="E107" s="66"/>
      <c r="F107" s="65"/>
      <c r="G107" s="67"/>
    </row>
    <row r="108" ht="15.75" customHeight="1">
      <c r="B108" s="65"/>
      <c r="C108" s="65"/>
      <c r="D108" s="65"/>
      <c r="E108" s="66"/>
      <c r="F108" s="65"/>
      <c r="G108" s="67"/>
    </row>
    <row r="109" ht="15.75" customHeight="1">
      <c r="B109" s="65"/>
      <c r="C109" s="65"/>
      <c r="D109" s="65"/>
      <c r="E109" s="66"/>
      <c r="F109" s="65"/>
      <c r="G109" s="67"/>
    </row>
    <row r="110" ht="15.75" customHeight="1">
      <c r="B110" s="65"/>
      <c r="C110" s="65"/>
      <c r="D110" s="65"/>
      <c r="E110" s="66"/>
      <c r="F110" s="65"/>
      <c r="G110" s="67"/>
    </row>
    <row r="111" ht="15.75" customHeight="1">
      <c r="B111" s="65"/>
      <c r="C111" s="65"/>
      <c r="D111" s="65"/>
      <c r="E111" s="66"/>
      <c r="F111" s="65"/>
      <c r="G111" s="67"/>
    </row>
    <row r="112" ht="15.75" customHeight="1">
      <c r="B112" s="65"/>
      <c r="C112" s="65"/>
      <c r="D112" s="65"/>
      <c r="E112" s="66"/>
      <c r="F112" s="65"/>
      <c r="G112" s="67"/>
    </row>
    <row r="113" ht="15.75" customHeight="1">
      <c r="B113" s="65"/>
      <c r="C113" s="65"/>
      <c r="D113" s="65"/>
      <c r="E113" s="66"/>
      <c r="F113" s="65"/>
      <c r="G113" s="67"/>
    </row>
    <row r="114" ht="15.75" customHeight="1">
      <c r="B114" s="65"/>
      <c r="C114" s="65"/>
      <c r="D114" s="65"/>
      <c r="E114" s="66"/>
      <c r="F114" s="65"/>
      <c r="G114" s="67"/>
    </row>
    <row r="115" ht="15.75" customHeight="1">
      <c r="B115" s="65"/>
      <c r="C115" s="65"/>
      <c r="D115" s="65"/>
      <c r="E115" s="66"/>
      <c r="F115" s="65"/>
      <c r="G115" s="67"/>
    </row>
    <row r="116" ht="15.75" customHeight="1">
      <c r="B116" s="65"/>
      <c r="C116" s="65"/>
      <c r="D116" s="65"/>
      <c r="E116" s="66"/>
      <c r="F116" s="65"/>
      <c r="G116" s="67"/>
    </row>
    <row r="117" ht="15.75" customHeight="1">
      <c r="B117" s="65"/>
      <c r="C117" s="65"/>
      <c r="D117" s="65"/>
      <c r="E117" s="66"/>
      <c r="F117" s="65"/>
      <c r="G117" s="67"/>
    </row>
    <row r="118" ht="15.75" customHeight="1">
      <c r="B118" s="65"/>
      <c r="C118" s="65"/>
      <c r="D118" s="65"/>
      <c r="E118" s="66"/>
      <c r="F118" s="65"/>
      <c r="G118" s="67"/>
    </row>
    <row r="119" ht="15.75" customHeight="1">
      <c r="B119" s="65"/>
      <c r="C119" s="65"/>
      <c r="D119" s="65"/>
      <c r="E119" s="66"/>
      <c r="F119" s="65"/>
      <c r="G119" s="67"/>
    </row>
    <row r="120" ht="15.75" customHeight="1">
      <c r="B120" s="65"/>
      <c r="C120" s="65"/>
      <c r="D120" s="65"/>
      <c r="E120" s="66"/>
      <c r="F120" s="65"/>
      <c r="G120" s="67"/>
    </row>
    <row r="121" ht="15.75" customHeight="1">
      <c r="B121" s="65"/>
      <c r="C121" s="65"/>
      <c r="D121" s="65"/>
      <c r="E121" s="66"/>
      <c r="F121" s="65"/>
      <c r="G121" s="67"/>
    </row>
    <row r="122" ht="15.75" customHeight="1">
      <c r="B122" s="65"/>
      <c r="C122" s="65"/>
      <c r="D122" s="65"/>
      <c r="E122" s="66"/>
      <c r="F122" s="65"/>
      <c r="G122" s="67"/>
    </row>
    <row r="123" ht="15.75" customHeight="1">
      <c r="B123" s="65"/>
      <c r="C123" s="65"/>
      <c r="D123" s="65"/>
      <c r="E123" s="66"/>
      <c r="F123" s="65"/>
      <c r="G123" s="67"/>
    </row>
    <row r="124" ht="15.75" customHeight="1">
      <c r="B124" s="65"/>
      <c r="C124" s="65"/>
      <c r="D124" s="65"/>
      <c r="E124" s="66"/>
      <c r="F124" s="65"/>
      <c r="G124" s="67"/>
    </row>
    <row r="125" ht="15.75" customHeight="1">
      <c r="B125" s="65"/>
      <c r="C125" s="65"/>
      <c r="D125" s="65"/>
      <c r="E125" s="66"/>
      <c r="F125" s="65"/>
      <c r="G125" s="67"/>
    </row>
    <row r="126" ht="15.75" customHeight="1">
      <c r="B126" s="65"/>
      <c r="C126" s="65"/>
      <c r="D126" s="65"/>
      <c r="E126" s="66"/>
      <c r="F126" s="65"/>
      <c r="G126" s="67"/>
    </row>
    <row r="127" ht="15.75" customHeight="1">
      <c r="B127" s="65"/>
      <c r="C127" s="65"/>
      <c r="D127" s="65"/>
      <c r="E127" s="66"/>
      <c r="F127" s="65"/>
      <c r="G127" s="67"/>
    </row>
    <row r="128" ht="15.75" customHeight="1">
      <c r="B128" s="65"/>
      <c r="C128" s="65"/>
      <c r="D128" s="65"/>
      <c r="E128" s="66"/>
      <c r="F128" s="65"/>
      <c r="G128" s="67"/>
    </row>
    <row r="129" ht="15.75" customHeight="1">
      <c r="B129" s="65"/>
      <c r="C129" s="65"/>
      <c r="D129" s="65"/>
      <c r="E129" s="66"/>
      <c r="F129" s="65"/>
      <c r="G129" s="67"/>
    </row>
    <row r="130" ht="15.75" customHeight="1">
      <c r="B130" s="65"/>
      <c r="C130" s="65"/>
      <c r="D130" s="65"/>
      <c r="E130" s="66"/>
      <c r="F130" s="65"/>
      <c r="G130" s="67"/>
    </row>
    <row r="131" ht="15.75" customHeight="1">
      <c r="B131" s="65"/>
      <c r="C131" s="65"/>
      <c r="D131" s="65"/>
      <c r="E131" s="66"/>
      <c r="F131" s="65"/>
      <c r="G131" s="67"/>
    </row>
    <row r="132" ht="15.75" customHeight="1">
      <c r="B132" s="65"/>
      <c r="C132" s="65"/>
      <c r="D132" s="65"/>
      <c r="E132" s="66"/>
      <c r="F132" s="65"/>
      <c r="G132" s="67"/>
    </row>
    <row r="133" ht="15.75" customHeight="1">
      <c r="B133" s="65"/>
      <c r="C133" s="65"/>
      <c r="D133" s="65"/>
      <c r="E133" s="66"/>
      <c r="F133" s="65"/>
      <c r="G133" s="67"/>
    </row>
    <row r="134" ht="15.75" customHeight="1">
      <c r="B134" s="65"/>
      <c r="C134" s="65"/>
      <c r="D134" s="65"/>
      <c r="E134" s="66"/>
      <c r="F134" s="65"/>
      <c r="G134" s="67"/>
    </row>
    <row r="135" ht="15.75" customHeight="1">
      <c r="B135" s="65"/>
      <c r="C135" s="65"/>
      <c r="D135" s="65"/>
      <c r="E135" s="66"/>
      <c r="F135" s="65"/>
      <c r="G135" s="67"/>
    </row>
    <row r="136" ht="15.75" customHeight="1">
      <c r="B136" s="65"/>
      <c r="C136" s="65"/>
      <c r="D136" s="65"/>
      <c r="E136" s="66"/>
      <c r="F136" s="65"/>
      <c r="G136" s="67"/>
    </row>
    <row r="137" ht="15.75" customHeight="1">
      <c r="B137" s="65"/>
      <c r="C137" s="65"/>
      <c r="D137" s="65"/>
      <c r="E137" s="66"/>
      <c r="F137" s="65"/>
      <c r="G137" s="67"/>
    </row>
    <row r="138" ht="15.75" customHeight="1">
      <c r="B138" s="65"/>
      <c r="C138" s="65"/>
      <c r="D138" s="65"/>
      <c r="E138" s="66"/>
      <c r="F138" s="65"/>
      <c r="G138" s="67"/>
    </row>
    <row r="139" ht="15.75" customHeight="1">
      <c r="B139" s="65"/>
      <c r="C139" s="65"/>
      <c r="D139" s="65"/>
      <c r="E139" s="66"/>
      <c r="F139" s="65"/>
      <c r="G139" s="67"/>
    </row>
    <row r="140" ht="15.75" customHeight="1">
      <c r="B140" s="65"/>
      <c r="C140" s="65"/>
      <c r="D140" s="65"/>
      <c r="E140" s="66"/>
      <c r="F140" s="65"/>
      <c r="G140" s="67"/>
    </row>
    <row r="141" ht="15.75" customHeight="1">
      <c r="B141" s="65"/>
      <c r="C141" s="65"/>
      <c r="D141" s="65"/>
      <c r="E141" s="66"/>
      <c r="F141" s="65"/>
      <c r="G141" s="67"/>
    </row>
    <row r="142" ht="15.75" customHeight="1">
      <c r="B142" s="65"/>
      <c r="C142" s="65"/>
      <c r="D142" s="65"/>
      <c r="E142" s="66"/>
      <c r="F142" s="65"/>
      <c r="G142" s="67"/>
    </row>
    <row r="143" ht="15.75" customHeight="1">
      <c r="B143" s="65"/>
      <c r="C143" s="65"/>
      <c r="D143" s="65"/>
      <c r="E143" s="66"/>
      <c r="F143" s="65"/>
      <c r="G143" s="67"/>
    </row>
    <row r="144" ht="15.75" customHeight="1">
      <c r="B144" s="65"/>
      <c r="C144" s="65"/>
      <c r="D144" s="65"/>
      <c r="E144" s="66"/>
      <c r="F144" s="65"/>
      <c r="G144" s="67"/>
    </row>
    <row r="145" ht="15.75" customHeight="1">
      <c r="B145" s="65"/>
      <c r="C145" s="65"/>
      <c r="D145" s="65"/>
      <c r="E145" s="66"/>
      <c r="F145" s="65"/>
      <c r="G145" s="67"/>
    </row>
    <row r="146" ht="15.75" customHeight="1">
      <c r="B146" s="65"/>
      <c r="C146" s="65"/>
      <c r="D146" s="65"/>
      <c r="E146" s="66"/>
      <c r="F146" s="65"/>
      <c r="G146" s="67"/>
    </row>
    <row r="147" ht="15.75" customHeight="1">
      <c r="B147" s="65"/>
      <c r="C147" s="65"/>
      <c r="D147" s="65"/>
      <c r="E147" s="66"/>
      <c r="F147" s="65"/>
      <c r="G147" s="67"/>
    </row>
    <row r="148" ht="15.75" customHeight="1">
      <c r="B148" s="65"/>
      <c r="C148" s="65"/>
      <c r="D148" s="65"/>
      <c r="E148" s="66"/>
      <c r="F148" s="65"/>
      <c r="G148" s="67"/>
    </row>
    <row r="149" ht="15.75" customHeight="1">
      <c r="B149" s="65"/>
      <c r="C149" s="65"/>
      <c r="D149" s="65"/>
      <c r="E149" s="66"/>
      <c r="F149" s="65"/>
      <c r="G149" s="67"/>
    </row>
    <row r="150" ht="15.75" customHeight="1">
      <c r="B150" s="65"/>
      <c r="C150" s="65"/>
      <c r="D150" s="65"/>
      <c r="E150" s="66"/>
      <c r="F150" s="65"/>
      <c r="G150" s="67"/>
    </row>
    <row r="151" ht="15.75" customHeight="1">
      <c r="B151" s="65"/>
      <c r="C151" s="65"/>
      <c r="D151" s="65"/>
      <c r="E151" s="66"/>
      <c r="F151" s="65"/>
      <c r="G151" s="67"/>
    </row>
    <row r="152" ht="15.75" customHeight="1">
      <c r="B152" s="65"/>
      <c r="C152" s="65"/>
      <c r="D152" s="65"/>
      <c r="E152" s="66"/>
      <c r="F152" s="65"/>
      <c r="G152" s="67"/>
    </row>
    <row r="153" ht="15.75" customHeight="1">
      <c r="B153" s="65"/>
      <c r="C153" s="65"/>
      <c r="D153" s="65"/>
      <c r="E153" s="66"/>
      <c r="F153" s="65"/>
      <c r="G153" s="67"/>
    </row>
    <row r="154" ht="15.75" customHeight="1">
      <c r="B154" s="65"/>
      <c r="C154" s="65"/>
      <c r="D154" s="65"/>
      <c r="E154" s="66"/>
      <c r="F154" s="65"/>
      <c r="G154" s="67"/>
    </row>
    <row r="155" ht="15.75" customHeight="1">
      <c r="B155" s="65"/>
      <c r="C155" s="65"/>
      <c r="D155" s="65"/>
      <c r="E155" s="66"/>
      <c r="F155" s="65"/>
      <c r="G155" s="67"/>
    </row>
    <row r="156" ht="15.75" customHeight="1">
      <c r="B156" s="65"/>
      <c r="C156" s="65"/>
      <c r="D156" s="65"/>
      <c r="E156" s="66"/>
      <c r="F156" s="65"/>
      <c r="G156" s="67"/>
    </row>
    <row r="157" ht="15.75" customHeight="1">
      <c r="B157" s="65"/>
      <c r="C157" s="65"/>
      <c r="D157" s="65"/>
      <c r="E157" s="66"/>
      <c r="F157" s="65"/>
      <c r="G157" s="67"/>
    </row>
    <row r="158" ht="15.75" customHeight="1">
      <c r="B158" s="65"/>
      <c r="C158" s="65"/>
      <c r="D158" s="65"/>
      <c r="E158" s="66"/>
      <c r="F158" s="65"/>
      <c r="G158" s="67"/>
    </row>
    <row r="159" ht="15.75" customHeight="1">
      <c r="B159" s="65"/>
      <c r="C159" s="65"/>
      <c r="D159" s="65"/>
      <c r="E159" s="66"/>
      <c r="F159" s="65"/>
      <c r="G159" s="67"/>
    </row>
    <row r="160" ht="15.75" customHeight="1">
      <c r="B160" s="65"/>
      <c r="C160" s="65"/>
      <c r="D160" s="65"/>
      <c r="E160" s="66"/>
      <c r="F160" s="65"/>
      <c r="G160" s="67"/>
    </row>
    <row r="161" ht="15.75" customHeight="1">
      <c r="B161" s="65"/>
      <c r="C161" s="65"/>
      <c r="D161" s="65"/>
      <c r="E161" s="66"/>
      <c r="F161" s="65"/>
      <c r="G161" s="67"/>
    </row>
    <row r="162" ht="15.75" customHeight="1">
      <c r="B162" s="65"/>
      <c r="C162" s="65"/>
      <c r="D162" s="65"/>
      <c r="E162" s="66"/>
      <c r="F162" s="65"/>
      <c r="G162" s="67"/>
    </row>
    <row r="163" ht="15.75" customHeight="1">
      <c r="B163" s="65"/>
      <c r="C163" s="65"/>
      <c r="D163" s="65"/>
      <c r="E163" s="66"/>
      <c r="F163" s="65"/>
      <c r="G163" s="67"/>
    </row>
    <row r="164" ht="15.75" customHeight="1">
      <c r="B164" s="65"/>
      <c r="C164" s="65"/>
      <c r="D164" s="65"/>
      <c r="E164" s="66"/>
      <c r="F164" s="65"/>
      <c r="G164" s="67"/>
    </row>
    <row r="165" ht="15.75" customHeight="1">
      <c r="B165" s="65"/>
      <c r="C165" s="65"/>
      <c r="D165" s="65"/>
      <c r="E165" s="66"/>
      <c r="F165" s="65"/>
      <c r="G165" s="67"/>
    </row>
    <row r="166" ht="15.75" customHeight="1">
      <c r="B166" s="65"/>
      <c r="C166" s="65"/>
      <c r="D166" s="65"/>
      <c r="E166" s="66"/>
      <c r="F166" s="65"/>
      <c r="G166" s="67"/>
    </row>
    <row r="167" ht="15.75" customHeight="1">
      <c r="B167" s="65"/>
      <c r="C167" s="65"/>
      <c r="D167" s="65"/>
      <c r="E167" s="66"/>
      <c r="F167" s="65"/>
      <c r="G167" s="67"/>
    </row>
    <row r="168" ht="15.75" customHeight="1">
      <c r="B168" s="65"/>
      <c r="C168" s="65"/>
      <c r="D168" s="65"/>
      <c r="E168" s="66"/>
      <c r="F168" s="65"/>
      <c r="G168" s="67"/>
    </row>
    <row r="169" ht="15.75" customHeight="1">
      <c r="B169" s="65"/>
      <c r="C169" s="65"/>
      <c r="D169" s="65"/>
      <c r="E169" s="66"/>
      <c r="F169" s="65"/>
      <c r="G169" s="67"/>
    </row>
    <row r="170" ht="15.75" customHeight="1">
      <c r="B170" s="65"/>
      <c r="C170" s="65"/>
      <c r="D170" s="65"/>
      <c r="E170" s="66"/>
      <c r="F170" s="65"/>
      <c r="G170" s="67"/>
    </row>
    <row r="171" ht="15.75" customHeight="1">
      <c r="B171" s="65"/>
      <c r="C171" s="65"/>
      <c r="D171" s="65"/>
      <c r="E171" s="66"/>
      <c r="F171" s="65"/>
      <c r="G171" s="67"/>
    </row>
    <row r="172" ht="15.75" customHeight="1">
      <c r="B172" s="65"/>
      <c r="C172" s="65"/>
      <c r="D172" s="65"/>
      <c r="E172" s="66"/>
      <c r="F172" s="65"/>
      <c r="G172" s="67"/>
    </row>
    <row r="173" ht="15.75" customHeight="1">
      <c r="B173" s="65"/>
      <c r="C173" s="65"/>
      <c r="D173" s="65"/>
      <c r="E173" s="66"/>
      <c r="F173" s="65"/>
      <c r="G173" s="67"/>
    </row>
    <row r="174" ht="15.75" customHeight="1">
      <c r="B174" s="65"/>
      <c r="C174" s="65"/>
      <c r="D174" s="65"/>
      <c r="E174" s="66"/>
      <c r="F174" s="65"/>
      <c r="G174" s="67"/>
    </row>
    <row r="175" ht="15.75" customHeight="1">
      <c r="B175" s="65"/>
      <c r="C175" s="65"/>
      <c r="D175" s="65"/>
      <c r="E175" s="66"/>
      <c r="F175" s="65"/>
      <c r="G175" s="67"/>
    </row>
    <row r="176" ht="15.75" customHeight="1">
      <c r="B176" s="65"/>
      <c r="C176" s="65"/>
      <c r="D176" s="65"/>
      <c r="E176" s="66"/>
      <c r="F176" s="65"/>
      <c r="G176" s="67"/>
    </row>
    <row r="177" ht="15.75" customHeight="1">
      <c r="B177" s="65"/>
      <c r="C177" s="65"/>
      <c r="D177" s="65"/>
      <c r="E177" s="66"/>
      <c r="F177" s="65"/>
      <c r="G177" s="67"/>
    </row>
    <row r="178" ht="15.75" customHeight="1">
      <c r="B178" s="65"/>
      <c r="C178" s="65"/>
      <c r="D178" s="65"/>
      <c r="E178" s="66"/>
      <c r="F178" s="65"/>
      <c r="G178" s="67"/>
    </row>
    <row r="179" ht="15.75" customHeight="1">
      <c r="B179" s="65"/>
      <c r="C179" s="65"/>
      <c r="D179" s="65"/>
      <c r="E179" s="66"/>
      <c r="F179" s="65"/>
      <c r="G179" s="67"/>
    </row>
    <row r="180" ht="15.75" customHeight="1">
      <c r="B180" s="65"/>
      <c r="C180" s="65"/>
      <c r="D180" s="65"/>
      <c r="E180" s="66"/>
      <c r="F180" s="65"/>
      <c r="G180" s="67"/>
    </row>
    <row r="181" ht="15.75" customHeight="1">
      <c r="B181" s="65"/>
      <c r="C181" s="65"/>
      <c r="D181" s="65"/>
      <c r="E181" s="66"/>
      <c r="F181" s="65"/>
      <c r="G181" s="67"/>
    </row>
    <row r="182" ht="15.75" customHeight="1">
      <c r="B182" s="65"/>
      <c r="C182" s="65"/>
      <c r="D182" s="65"/>
      <c r="E182" s="66"/>
      <c r="F182" s="65"/>
      <c r="G182" s="67"/>
    </row>
    <row r="183" ht="15.75" customHeight="1">
      <c r="B183" s="65"/>
      <c r="C183" s="65"/>
      <c r="D183" s="65"/>
      <c r="E183" s="66"/>
      <c r="F183" s="65"/>
      <c r="G183" s="67"/>
    </row>
    <row r="184" ht="15.75" customHeight="1">
      <c r="B184" s="65"/>
      <c r="C184" s="65"/>
      <c r="D184" s="65"/>
      <c r="E184" s="66"/>
      <c r="F184" s="65"/>
      <c r="G184" s="67"/>
    </row>
    <row r="185" ht="15.75" customHeight="1">
      <c r="B185" s="65"/>
      <c r="C185" s="65"/>
      <c r="D185" s="65"/>
      <c r="E185" s="66"/>
      <c r="F185" s="65"/>
      <c r="G185" s="67"/>
    </row>
    <row r="186" ht="15.75" customHeight="1">
      <c r="B186" s="65"/>
      <c r="C186" s="65"/>
      <c r="D186" s="65"/>
      <c r="E186" s="66"/>
      <c r="F186" s="65"/>
      <c r="G186" s="67"/>
    </row>
    <row r="187" ht="15.75" customHeight="1">
      <c r="B187" s="65"/>
      <c r="C187" s="65"/>
      <c r="D187" s="65"/>
      <c r="E187" s="66"/>
      <c r="F187" s="65"/>
      <c r="G187" s="67"/>
    </row>
    <row r="188" ht="15.75" customHeight="1">
      <c r="B188" s="65"/>
      <c r="C188" s="65"/>
      <c r="D188" s="65"/>
      <c r="E188" s="66"/>
      <c r="F188" s="65"/>
      <c r="G188" s="67"/>
    </row>
    <row r="189" ht="15.75" customHeight="1">
      <c r="B189" s="65"/>
      <c r="C189" s="65"/>
      <c r="D189" s="65"/>
      <c r="E189" s="66"/>
      <c r="F189" s="65"/>
      <c r="G189" s="67"/>
    </row>
    <row r="190" ht="15.75" customHeight="1">
      <c r="B190" s="65"/>
      <c r="C190" s="65"/>
      <c r="D190" s="65"/>
      <c r="E190" s="66"/>
      <c r="F190" s="65"/>
      <c r="G190" s="67"/>
    </row>
    <row r="191" ht="15.75" customHeight="1">
      <c r="B191" s="65"/>
      <c r="C191" s="65"/>
      <c r="D191" s="65"/>
      <c r="E191" s="66"/>
      <c r="F191" s="65"/>
      <c r="G191" s="67"/>
    </row>
    <row r="192" ht="15.75" customHeight="1">
      <c r="B192" s="65"/>
      <c r="C192" s="65"/>
      <c r="D192" s="65"/>
      <c r="E192" s="66"/>
      <c r="F192" s="65"/>
      <c r="G192" s="67"/>
    </row>
    <row r="193" ht="15.75" customHeight="1">
      <c r="B193" s="65"/>
      <c r="C193" s="65"/>
      <c r="D193" s="65"/>
      <c r="E193" s="66"/>
      <c r="F193" s="65"/>
      <c r="G193" s="67"/>
    </row>
    <row r="194" ht="15.75" customHeight="1">
      <c r="B194" s="65"/>
      <c r="C194" s="65"/>
      <c r="D194" s="65"/>
      <c r="E194" s="66"/>
      <c r="F194" s="65"/>
      <c r="G194" s="67"/>
    </row>
    <row r="195" ht="15.75" customHeight="1">
      <c r="B195" s="65"/>
      <c r="C195" s="65"/>
      <c r="D195" s="65"/>
      <c r="E195" s="66"/>
      <c r="F195" s="65"/>
      <c r="G195" s="67"/>
    </row>
    <row r="196" ht="15.75" customHeight="1">
      <c r="B196" s="65"/>
      <c r="C196" s="65"/>
      <c r="D196" s="65"/>
      <c r="E196" s="66"/>
      <c r="F196" s="65"/>
      <c r="G196" s="67"/>
    </row>
    <row r="197" ht="15.75" customHeight="1">
      <c r="B197" s="65"/>
      <c r="C197" s="65"/>
      <c r="D197" s="65"/>
      <c r="E197" s="66"/>
      <c r="F197" s="65"/>
      <c r="G197" s="67"/>
    </row>
    <row r="198" ht="15.75" customHeight="1">
      <c r="B198" s="65"/>
      <c r="C198" s="65"/>
      <c r="D198" s="65"/>
      <c r="E198" s="66"/>
      <c r="F198" s="65"/>
      <c r="G198" s="67"/>
    </row>
    <row r="199" ht="15.75" customHeight="1">
      <c r="B199" s="65"/>
      <c r="C199" s="65"/>
      <c r="D199" s="65"/>
      <c r="E199" s="66"/>
      <c r="F199" s="65"/>
      <c r="G199" s="67"/>
    </row>
    <row r="200" ht="15.75" customHeight="1">
      <c r="B200" s="65"/>
      <c r="C200" s="65"/>
      <c r="D200" s="65"/>
      <c r="E200" s="66"/>
      <c r="F200" s="65"/>
      <c r="G200" s="67"/>
    </row>
    <row r="201" ht="15.75" customHeight="1">
      <c r="B201" s="65"/>
      <c r="C201" s="65"/>
      <c r="D201" s="65"/>
      <c r="E201" s="66"/>
      <c r="F201" s="65"/>
      <c r="G201" s="67"/>
    </row>
    <row r="202" ht="15.75" customHeight="1">
      <c r="B202" s="65"/>
      <c r="C202" s="65"/>
      <c r="D202" s="65"/>
      <c r="E202" s="66"/>
      <c r="F202" s="65"/>
      <c r="G202" s="67"/>
    </row>
    <row r="203" ht="15.75" customHeight="1">
      <c r="B203" s="65"/>
      <c r="C203" s="65"/>
      <c r="D203" s="65"/>
      <c r="E203" s="66"/>
      <c r="F203" s="65"/>
      <c r="G203" s="67"/>
    </row>
    <row r="204" ht="15.75" customHeight="1">
      <c r="B204" s="65"/>
      <c r="C204" s="65"/>
      <c r="D204" s="65"/>
      <c r="E204" s="66"/>
      <c r="F204" s="65"/>
      <c r="G204" s="67"/>
    </row>
    <row r="205" ht="15.75" customHeight="1">
      <c r="B205" s="65"/>
      <c r="C205" s="65"/>
      <c r="D205" s="65"/>
      <c r="E205" s="66"/>
      <c r="F205" s="65"/>
      <c r="G205" s="67"/>
    </row>
    <row r="206" ht="15.75" customHeight="1">
      <c r="B206" s="65"/>
      <c r="C206" s="65"/>
      <c r="D206" s="65"/>
      <c r="E206" s="66"/>
      <c r="F206" s="65"/>
      <c r="G206" s="67"/>
    </row>
    <row r="207" ht="15.75" customHeight="1">
      <c r="B207" s="65"/>
      <c r="C207" s="65"/>
      <c r="D207" s="65"/>
      <c r="E207" s="66"/>
      <c r="F207" s="65"/>
      <c r="G207" s="67"/>
    </row>
    <row r="208" ht="15.75" customHeight="1">
      <c r="B208" s="65"/>
      <c r="C208" s="65"/>
      <c r="D208" s="65"/>
      <c r="E208" s="66"/>
      <c r="F208" s="65"/>
      <c r="G208" s="67"/>
    </row>
    <row r="209" ht="15.75" customHeight="1">
      <c r="B209" s="65"/>
      <c r="C209" s="65"/>
      <c r="D209" s="65"/>
      <c r="E209" s="66"/>
      <c r="F209" s="65"/>
      <c r="G209" s="67"/>
    </row>
    <row r="210" ht="15.75" customHeight="1">
      <c r="B210" s="65"/>
      <c r="C210" s="65"/>
      <c r="D210" s="65"/>
      <c r="E210" s="66"/>
      <c r="F210" s="65"/>
      <c r="G210" s="67"/>
    </row>
    <row r="211" ht="15.75" customHeight="1">
      <c r="B211" s="65"/>
      <c r="C211" s="65"/>
      <c r="D211" s="65"/>
      <c r="E211" s="66"/>
      <c r="F211" s="65"/>
      <c r="G211" s="67"/>
    </row>
    <row r="212" ht="15.75" customHeight="1">
      <c r="B212" s="65"/>
      <c r="C212" s="65"/>
      <c r="D212" s="65"/>
      <c r="E212" s="66"/>
      <c r="F212" s="65"/>
      <c r="G212" s="67"/>
    </row>
    <row r="213" ht="15.75" customHeight="1">
      <c r="B213" s="65"/>
      <c r="C213" s="65"/>
      <c r="D213" s="65"/>
      <c r="E213" s="66"/>
      <c r="F213" s="65"/>
      <c r="G213" s="67"/>
    </row>
    <row r="214" ht="15.75" customHeight="1">
      <c r="B214" s="65"/>
      <c r="C214" s="65"/>
      <c r="D214" s="65"/>
      <c r="E214" s="66"/>
      <c r="F214" s="65"/>
      <c r="G214" s="67"/>
    </row>
    <row r="215" ht="15.75" customHeight="1">
      <c r="B215" s="65"/>
      <c r="C215" s="65"/>
      <c r="D215" s="65"/>
      <c r="E215" s="66"/>
      <c r="F215" s="65"/>
      <c r="G215" s="67"/>
    </row>
    <row r="216" ht="15.75" customHeight="1">
      <c r="B216" s="65"/>
      <c r="C216" s="65"/>
      <c r="D216" s="65"/>
      <c r="E216" s="66"/>
      <c r="F216" s="65"/>
      <c r="G216" s="67"/>
    </row>
    <row r="217" ht="15.75" customHeight="1">
      <c r="B217" s="65"/>
      <c r="C217" s="65"/>
      <c r="D217" s="65"/>
      <c r="E217" s="66"/>
      <c r="F217" s="65"/>
      <c r="G217" s="67"/>
    </row>
    <row r="218" ht="15.75" customHeight="1">
      <c r="B218" s="65"/>
      <c r="C218" s="65"/>
      <c r="D218" s="65"/>
      <c r="E218" s="66"/>
      <c r="F218" s="65"/>
      <c r="G218" s="67"/>
    </row>
    <row r="219" ht="15.75" customHeight="1">
      <c r="B219" s="65"/>
      <c r="C219" s="65"/>
      <c r="D219" s="65"/>
      <c r="E219" s="66"/>
      <c r="F219" s="65"/>
      <c r="G219" s="67"/>
    </row>
    <row r="220" ht="15.75" customHeight="1">
      <c r="B220" s="65"/>
      <c r="C220" s="65"/>
      <c r="D220" s="65"/>
      <c r="E220" s="66"/>
      <c r="F220" s="65"/>
      <c r="G220" s="67"/>
    </row>
    <row r="221" ht="15.75" customHeight="1">
      <c r="B221" s="65"/>
      <c r="C221" s="65"/>
      <c r="D221" s="65"/>
      <c r="E221" s="66"/>
      <c r="F221" s="65"/>
      <c r="G221" s="67"/>
    </row>
    <row r="222" ht="15.75" customHeight="1">
      <c r="B222" s="65"/>
      <c r="C222" s="65"/>
      <c r="D222" s="65"/>
      <c r="E222" s="66"/>
      <c r="F222" s="65"/>
      <c r="G222" s="67"/>
    </row>
    <row r="223" ht="15.75" customHeight="1">
      <c r="B223" s="65"/>
      <c r="C223" s="65"/>
      <c r="D223" s="65"/>
      <c r="E223" s="66"/>
      <c r="F223" s="65"/>
      <c r="G223" s="67"/>
    </row>
    <row r="224" ht="15.75" customHeight="1">
      <c r="B224" s="65"/>
      <c r="C224" s="65"/>
      <c r="D224" s="65"/>
      <c r="E224" s="66"/>
      <c r="F224" s="65"/>
      <c r="G224" s="67"/>
    </row>
    <row r="225" ht="15.75" customHeight="1">
      <c r="B225" s="65"/>
      <c r="C225" s="65"/>
      <c r="D225" s="65"/>
      <c r="E225" s="66"/>
      <c r="F225" s="65"/>
      <c r="G225" s="67"/>
    </row>
    <row r="226" ht="15.75" customHeight="1">
      <c r="B226" s="65"/>
      <c r="C226" s="65"/>
      <c r="D226" s="65"/>
      <c r="E226" s="66"/>
      <c r="F226" s="65"/>
      <c r="G226" s="67"/>
    </row>
    <row r="227" ht="15.75" customHeight="1">
      <c r="B227" s="65"/>
      <c r="C227" s="65"/>
      <c r="D227" s="65"/>
      <c r="E227" s="66"/>
      <c r="F227" s="65"/>
      <c r="G227" s="67"/>
    </row>
    <row r="228" ht="15.75" customHeight="1">
      <c r="B228" s="65"/>
      <c r="C228" s="65"/>
      <c r="D228" s="65"/>
      <c r="E228" s="66"/>
      <c r="F228" s="65"/>
      <c r="G228" s="67"/>
    </row>
    <row r="229" ht="15.75" customHeight="1">
      <c r="B229" s="65"/>
      <c r="C229" s="65"/>
      <c r="D229" s="65"/>
      <c r="E229" s="66"/>
      <c r="F229" s="65"/>
      <c r="G229" s="67"/>
    </row>
    <row r="230" ht="15.75" customHeight="1">
      <c r="B230" s="65"/>
      <c r="C230" s="65"/>
      <c r="D230" s="65"/>
      <c r="E230" s="66"/>
      <c r="F230" s="65"/>
      <c r="G230" s="67"/>
    </row>
    <row r="231" ht="15.75" customHeight="1">
      <c r="B231" s="65"/>
      <c r="C231" s="65"/>
      <c r="D231" s="65"/>
      <c r="E231" s="66"/>
      <c r="F231" s="65"/>
      <c r="G231" s="67"/>
    </row>
    <row r="232" ht="15.75" customHeight="1">
      <c r="B232" s="65"/>
      <c r="C232" s="65"/>
      <c r="D232" s="65"/>
      <c r="E232" s="66"/>
      <c r="F232" s="65"/>
      <c r="G232" s="67"/>
    </row>
    <row r="233" ht="15.75" customHeight="1">
      <c r="B233" s="65"/>
      <c r="C233" s="65"/>
      <c r="D233" s="65"/>
      <c r="E233" s="66"/>
      <c r="F233" s="65"/>
      <c r="G233" s="67"/>
    </row>
    <row r="234" ht="15.75" customHeight="1">
      <c r="B234" s="65"/>
      <c r="C234" s="65"/>
      <c r="D234" s="65"/>
      <c r="E234" s="66"/>
      <c r="F234" s="65"/>
      <c r="G234" s="67"/>
    </row>
    <row r="235" ht="15.75" customHeight="1">
      <c r="B235" s="65"/>
      <c r="C235" s="65"/>
      <c r="D235" s="65"/>
      <c r="E235" s="66"/>
      <c r="F235" s="65"/>
      <c r="G235" s="67"/>
    </row>
    <row r="236" ht="15.75" customHeight="1">
      <c r="B236" s="65"/>
      <c r="C236" s="65"/>
      <c r="D236" s="65"/>
      <c r="E236" s="66"/>
      <c r="F236" s="65"/>
      <c r="G236" s="67"/>
    </row>
    <row r="237" ht="15.75" customHeight="1">
      <c r="B237" s="65"/>
      <c r="C237" s="65"/>
      <c r="D237" s="65"/>
      <c r="E237" s="66"/>
      <c r="F237" s="65"/>
      <c r="G237" s="67"/>
    </row>
    <row r="238" ht="15.75" customHeight="1">
      <c r="B238" s="65"/>
      <c r="C238" s="65"/>
      <c r="D238" s="65"/>
      <c r="E238" s="66"/>
      <c r="F238" s="65"/>
      <c r="G238" s="67"/>
    </row>
    <row r="239" ht="15.75" customHeight="1">
      <c r="B239" s="65"/>
      <c r="C239" s="65"/>
      <c r="D239" s="65"/>
      <c r="E239" s="66"/>
      <c r="F239" s="65"/>
      <c r="G239" s="67"/>
    </row>
    <row r="240" ht="15.75" customHeight="1">
      <c r="B240" s="65"/>
      <c r="C240" s="65"/>
      <c r="D240" s="65"/>
      <c r="E240" s="66"/>
      <c r="F240" s="65"/>
      <c r="G240" s="67"/>
    </row>
    <row r="241" ht="15.75" customHeight="1">
      <c r="B241" s="65"/>
      <c r="C241" s="65"/>
      <c r="D241" s="65"/>
      <c r="E241" s="66"/>
      <c r="F241" s="65"/>
      <c r="G241" s="67"/>
    </row>
    <row r="242" ht="15.75" customHeight="1">
      <c r="B242" s="65"/>
      <c r="C242" s="65"/>
      <c r="D242" s="65"/>
      <c r="E242" s="66"/>
      <c r="F242" s="65"/>
      <c r="G242" s="67"/>
    </row>
    <row r="243" ht="15.75" customHeight="1">
      <c r="B243" s="65"/>
      <c r="C243" s="65"/>
      <c r="D243" s="65"/>
      <c r="E243" s="66"/>
      <c r="F243" s="65"/>
      <c r="G243" s="67"/>
    </row>
    <row r="244" ht="15.75" customHeight="1">
      <c r="B244" s="65"/>
      <c r="C244" s="65"/>
      <c r="D244" s="65"/>
      <c r="E244" s="66"/>
      <c r="F244" s="65"/>
      <c r="G244" s="67"/>
    </row>
    <row r="245" ht="15.75" customHeight="1">
      <c r="B245" s="65"/>
      <c r="C245" s="65"/>
      <c r="D245" s="65"/>
      <c r="E245" s="66"/>
      <c r="F245" s="65"/>
      <c r="G245" s="67"/>
    </row>
    <row r="246" ht="15.75" customHeight="1">
      <c r="B246" s="65"/>
      <c r="C246" s="65"/>
      <c r="D246" s="65"/>
      <c r="E246" s="66"/>
      <c r="F246" s="65"/>
      <c r="G246" s="67"/>
    </row>
    <row r="247" ht="15.75" customHeight="1">
      <c r="B247" s="65"/>
      <c r="C247" s="65"/>
      <c r="D247" s="65"/>
      <c r="E247" s="66"/>
      <c r="F247" s="65"/>
      <c r="G247" s="67"/>
    </row>
    <row r="248" ht="15.75" customHeight="1">
      <c r="B248" s="65"/>
      <c r="C248" s="65"/>
      <c r="D248" s="65"/>
      <c r="E248" s="66"/>
      <c r="F248" s="65"/>
      <c r="G248" s="67"/>
    </row>
    <row r="249" ht="15.75" customHeight="1">
      <c r="B249" s="65"/>
      <c r="C249" s="65"/>
      <c r="D249" s="65"/>
      <c r="E249" s="66"/>
      <c r="F249" s="65"/>
      <c r="G249" s="67"/>
    </row>
    <row r="250" ht="15.75" customHeight="1">
      <c r="B250" s="65"/>
      <c r="C250" s="65"/>
      <c r="D250" s="65"/>
      <c r="E250" s="66"/>
      <c r="F250" s="65"/>
      <c r="G250" s="67"/>
    </row>
    <row r="251" ht="15.75" customHeight="1">
      <c r="B251" s="65"/>
      <c r="C251" s="65"/>
      <c r="D251" s="65"/>
      <c r="E251" s="66"/>
      <c r="F251" s="65"/>
      <c r="G251" s="67"/>
    </row>
    <row r="252" ht="15.75" customHeight="1">
      <c r="B252" s="65"/>
      <c r="C252" s="65"/>
      <c r="D252" s="65"/>
      <c r="E252" s="66"/>
      <c r="F252" s="65"/>
      <c r="G252" s="67"/>
    </row>
    <row r="253" ht="15.75" customHeight="1">
      <c r="B253" s="65"/>
      <c r="C253" s="65"/>
      <c r="D253" s="65"/>
      <c r="E253" s="66"/>
      <c r="F253" s="65"/>
      <c r="G253" s="67"/>
    </row>
    <row r="254" ht="15.75" customHeight="1">
      <c r="B254" s="65"/>
      <c r="C254" s="65"/>
      <c r="D254" s="65"/>
      <c r="E254" s="66"/>
      <c r="F254" s="65"/>
      <c r="G254" s="67"/>
    </row>
    <row r="255" ht="15.75" customHeight="1">
      <c r="B255" s="65"/>
      <c r="C255" s="65"/>
      <c r="D255" s="65"/>
      <c r="E255" s="66"/>
      <c r="F255" s="65"/>
      <c r="G255" s="67"/>
    </row>
    <row r="256" ht="15.75" customHeight="1">
      <c r="B256" s="65"/>
      <c r="C256" s="65"/>
      <c r="D256" s="65"/>
      <c r="E256" s="66"/>
      <c r="F256" s="65"/>
      <c r="G256" s="67"/>
    </row>
    <row r="257" ht="15.75" customHeight="1">
      <c r="B257" s="65"/>
      <c r="C257" s="65"/>
      <c r="D257" s="65"/>
      <c r="E257" s="66"/>
      <c r="F257" s="65"/>
      <c r="G257" s="67"/>
    </row>
    <row r="258" ht="15.75" customHeight="1">
      <c r="B258" s="65"/>
      <c r="C258" s="65"/>
      <c r="D258" s="65"/>
      <c r="E258" s="66"/>
      <c r="F258" s="65"/>
      <c r="G258" s="67"/>
    </row>
    <row r="259" ht="15.75" customHeight="1">
      <c r="B259" s="65"/>
      <c r="C259" s="65"/>
      <c r="D259" s="65"/>
      <c r="E259" s="66"/>
      <c r="F259" s="65"/>
      <c r="G259" s="67"/>
    </row>
    <row r="260" ht="15.75" customHeight="1">
      <c r="B260" s="65"/>
      <c r="C260" s="65"/>
      <c r="D260" s="65"/>
      <c r="E260" s="66"/>
      <c r="F260" s="65"/>
      <c r="G260" s="67"/>
    </row>
    <row r="261" ht="15.75" customHeight="1">
      <c r="B261" s="65"/>
      <c r="C261" s="65"/>
      <c r="D261" s="65"/>
      <c r="E261" s="66"/>
      <c r="F261" s="65"/>
      <c r="G261" s="67"/>
    </row>
    <row r="262" ht="15.75" customHeight="1">
      <c r="B262" s="65"/>
      <c r="C262" s="65"/>
      <c r="D262" s="65"/>
      <c r="E262" s="66"/>
      <c r="F262" s="65"/>
      <c r="G262" s="67"/>
    </row>
    <row r="263" ht="15.75" customHeight="1">
      <c r="B263" s="65"/>
      <c r="C263" s="65"/>
      <c r="D263" s="65"/>
      <c r="E263" s="66"/>
      <c r="F263" s="65"/>
      <c r="G263" s="67"/>
    </row>
    <row r="264" ht="15.75" customHeight="1">
      <c r="B264" s="65"/>
      <c r="C264" s="65"/>
      <c r="D264" s="65"/>
      <c r="E264" s="66"/>
      <c r="F264" s="65"/>
      <c r="G264" s="67"/>
    </row>
    <row r="265" ht="15.75" customHeight="1">
      <c r="B265" s="65"/>
      <c r="C265" s="65"/>
      <c r="D265" s="65"/>
      <c r="E265" s="66"/>
      <c r="F265" s="65"/>
      <c r="G265" s="67"/>
    </row>
    <row r="266" ht="15.75" customHeight="1">
      <c r="B266" s="65"/>
      <c r="C266" s="65"/>
      <c r="D266" s="65"/>
      <c r="E266" s="66"/>
      <c r="F266" s="65"/>
      <c r="G266" s="67"/>
    </row>
    <row r="267" ht="15.75" customHeight="1">
      <c r="B267" s="65"/>
      <c r="C267" s="65"/>
      <c r="D267" s="65"/>
      <c r="E267" s="66"/>
      <c r="F267" s="65"/>
      <c r="G267" s="67"/>
    </row>
    <row r="268" ht="15.75" customHeight="1">
      <c r="B268" s="65"/>
      <c r="C268" s="65"/>
      <c r="D268" s="65"/>
      <c r="E268" s="66"/>
      <c r="F268" s="65"/>
      <c r="G268" s="67"/>
    </row>
    <row r="269" ht="15.75" customHeight="1">
      <c r="B269" s="65"/>
      <c r="C269" s="65"/>
      <c r="D269" s="65"/>
      <c r="E269" s="66"/>
      <c r="F269" s="65"/>
      <c r="G269" s="67"/>
    </row>
    <row r="270" ht="15.75" customHeight="1">
      <c r="B270" s="65"/>
      <c r="C270" s="65"/>
      <c r="D270" s="65"/>
      <c r="E270" s="66"/>
      <c r="F270" s="65"/>
      <c r="G270" s="67"/>
    </row>
    <row r="271" ht="15.75" customHeight="1">
      <c r="B271" s="65"/>
      <c r="C271" s="65"/>
      <c r="D271" s="65"/>
      <c r="E271" s="66"/>
      <c r="F271" s="65"/>
      <c r="G271" s="67"/>
    </row>
    <row r="272" ht="15.75" customHeight="1">
      <c r="B272" s="65"/>
      <c r="C272" s="65"/>
      <c r="D272" s="65"/>
      <c r="E272" s="66"/>
      <c r="F272" s="65"/>
      <c r="G272" s="67"/>
    </row>
    <row r="273" ht="15.75" customHeight="1">
      <c r="B273" s="65"/>
      <c r="C273" s="65"/>
      <c r="D273" s="65"/>
      <c r="E273" s="66"/>
      <c r="F273" s="65"/>
      <c r="G273" s="67"/>
    </row>
    <row r="274" ht="15.75" customHeight="1">
      <c r="B274" s="65"/>
      <c r="C274" s="65"/>
      <c r="D274" s="65"/>
      <c r="E274" s="66"/>
      <c r="F274" s="65"/>
      <c r="G274" s="67"/>
    </row>
    <row r="275" ht="15.75" customHeight="1">
      <c r="B275" s="65"/>
      <c r="C275" s="65"/>
      <c r="D275" s="65"/>
      <c r="E275" s="66"/>
      <c r="F275" s="65"/>
      <c r="G275" s="67"/>
    </row>
    <row r="276" ht="15.75" customHeight="1">
      <c r="B276" s="65"/>
      <c r="C276" s="65"/>
      <c r="D276" s="65"/>
      <c r="E276" s="66"/>
      <c r="F276" s="65"/>
      <c r="G276" s="67"/>
    </row>
    <row r="277" ht="15.75" customHeight="1">
      <c r="B277" s="65"/>
      <c r="C277" s="65"/>
      <c r="D277" s="65"/>
      <c r="E277" s="66"/>
      <c r="F277" s="65"/>
      <c r="G277" s="67"/>
    </row>
    <row r="278" ht="15.75" customHeight="1">
      <c r="B278" s="65"/>
      <c r="C278" s="65"/>
      <c r="D278" s="65"/>
      <c r="E278" s="66"/>
      <c r="F278" s="65"/>
      <c r="G278" s="67"/>
    </row>
    <row r="279" ht="15.75" customHeight="1">
      <c r="B279" s="65"/>
      <c r="C279" s="65"/>
      <c r="D279" s="65"/>
      <c r="E279" s="66"/>
      <c r="F279" s="65"/>
      <c r="G279" s="67"/>
    </row>
    <row r="280" ht="15.75" customHeight="1">
      <c r="B280" s="65"/>
      <c r="C280" s="65"/>
      <c r="D280" s="65"/>
      <c r="E280" s="66"/>
      <c r="F280" s="65"/>
      <c r="G280" s="67"/>
    </row>
    <row r="281" ht="15.75" customHeight="1">
      <c r="B281" s="65"/>
      <c r="C281" s="65"/>
      <c r="D281" s="65"/>
      <c r="E281" s="66"/>
      <c r="F281" s="65"/>
      <c r="G281" s="67"/>
    </row>
    <row r="282" ht="15.75" customHeight="1">
      <c r="B282" s="65"/>
      <c r="C282" s="65"/>
      <c r="D282" s="65"/>
      <c r="E282" s="66"/>
      <c r="F282" s="65"/>
      <c r="G282" s="67"/>
    </row>
    <row r="283" ht="15.75" customHeight="1">
      <c r="B283" s="65"/>
      <c r="C283" s="65"/>
      <c r="D283" s="65"/>
      <c r="E283" s="66"/>
      <c r="F283" s="65"/>
      <c r="G283" s="67"/>
    </row>
    <row r="284" ht="15.75" customHeight="1">
      <c r="B284" s="65"/>
      <c r="C284" s="65"/>
      <c r="D284" s="65"/>
      <c r="E284" s="66"/>
      <c r="F284" s="65"/>
      <c r="G284" s="67"/>
    </row>
    <row r="285" ht="15.75" customHeight="1">
      <c r="B285" s="65"/>
      <c r="C285" s="65"/>
      <c r="D285" s="65"/>
      <c r="E285" s="66"/>
      <c r="F285" s="65"/>
      <c r="G285" s="67"/>
    </row>
    <row r="286" ht="15.75" customHeight="1">
      <c r="B286" s="65"/>
      <c r="C286" s="65"/>
      <c r="D286" s="65"/>
      <c r="E286" s="66"/>
      <c r="F286" s="65"/>
      <c r="G286" s="67"/>
    </row>
    <row r="287" ht="15.75" customHeight="1">
      <c r="B287" s="65"/>
      <c r="C287" s="65"/>
      <c r="D287" s="65"/>
      <c r="E287" s="66"/>
      <c r="F287" s="65"/>
      <c r="G287" s="67"/>
    </row>
    <row r="288" ht="15.75" customHeight="1">
      <c r="B288" s="65"/>
      <c r="C288" s="65"/>
      <c r="D288" s="65"/>
      <c r="E288" s="66"/>
      <c r="F288" s="65"/>
      <c r="G288" s="67"/>
    </row>
    <row r="289" ht="15.75" customHeight="1">
      <c r="B289" s="65"/>
      <c r="C289" s="65"/>
      <c r="D289" s="65"/>
      <c r="E289" s="66"/>
      <c r="F289" s="65"/>
      <c r="G289" s="67"/>
    </row>
    <row r="290" ht="15.75" customHeight="1">
      <c r="B290" s="65"/>
      <c r="C290" s="65"/>
      <c r="D290" s="65"/>
      <c r="E290" s="66"/>
      <c r="F290" s="65"/>
      <c r="G290" s="67"/>
    </row>
    <row r="291" ht="15.75" customHeight="1">
      <c r="B291" s="65"/>
      <c r="C291" s="65"/>
      <c r="D291" s="65"/>
      <c r="E291" s="66"/>
      <c r="F291" s="65"/>
      <c r="G291" s="67"/>
    </row>
    <row r="292" ht="15.75" customHeight="1">
      <c r="B292" s="65"/>
      <c r="C292" s="65"/>
      <c r="D292" s="65"/>
      <c r="E292" s="66"/>
      <c r="F292" s="65"/>
      <c r="G292" s="67"/>
    </row>
    <row r="293" ht="15.75" customHeight="1">
      <c r="B293" s="65"/>
      <c r="C293" s="65"/>
      <c r="D293" s="65"/>
      <c r="E293" s="66"/>
      <c r="F293" s="65"/>
      <c r="G293" s="67"/>
    </row>
    <row r="294" ht="15.75" customHeight="1">
      <c r="B294" s="65"/>
      <c r="C294" s="65"/>
      <c r="D294" s="65"/>
      <c r="E294" s="66"/>
      <c r="F294" s="65"/>
      <c r="G294" s="67"/>
    </row>
    <row r="295" ht="15.75" customHeight="1">
      <c r="B295" s="65"/>
      <c r="C295" s="65"/>
      <c r="D295" s="65"/>
      <c r="E295" s="66"/>
      <c r="F295" s="65"/>
      <c r="G295" s="67"/>
    </row>
    <row r="296" ht="15.75" customHeight="1">
      <c r="B296" s="65"/>
      <c r="C296" s="65"/>
      <c r="D296" s="65"/>
      <c r="E296" s="66"/>
      <c r="F296" s="65"/>
      <c r="G296" s="67"/>
    </row>
    <row r="297" ht="15.75" customHeight="1">
      <c r="B297" s="65"/>
      <c r="C297" s="65"/>
      <c r="D297" s="65"/>
      <c r="E297" s="66"/>
      <c r="F297" s="65"/>
      <c r="G297" s="67"/>
    </row>
    <row r="298" ht="15.75" customHeight="1">
      <c r="B298" s="65"/>
      <c r="C298" s="65"/>
      <c r="D298" s="65"/>
      <c r="E298" s="66"/>
      <c r="F298" s="65"/>
      <c r="G298" s="67"/>
    </row>
    <row r="299" ht="15.75" customHeight="1">
      <c r="B299" s="65"/>
      <c r="C299" s="65"/>
      <c r="D299" s="65"/>
      <c r="E299" s="66"/>
      <c r="F299" s="65"/>
      <c r="G299" s="67"/>
    </row>
    <row r="300" ht="15.75" customHeight="1">
      <c r="B300" s="65"/>
      <c r="C300" s="65"/>
      <c r="D300" s="65"/>
      <c r="E300" s="66"/>
      <c r="F300" s="65"/>
      <c r="G300" s="67"/>
    </row>
    <row r="301" ht="15.75" customHeight="1">
      <c r="B301" s="65"/>
      <c r="C301" s="65"/>
      <c r="D301" s="65"/>
      <c r="E301" s="66"/>
      <c r="F301" s="65"/>
      <c r="G301" s="67"/>
    </row>
    <row r="302" ht="15.75" customHeight="1">
      <c r="B302" s="65"/>
      <c r="C302" s="65"/>
      <c r="D302" s="65"/>
      <c r="E302" s="66"/>
      <c r="F302" s="65"/>
      <c r="G302" s="67"/>
    </row>
    <row r="303" ht="15.75" customHeight="1">
      <c r="B303" s="65"/>
      <c r="C303" s="65"/>
      <c r="D303" s="65"/>
      <c r="E303" s="66"/>
      <c r="F303" s="65"/>
      <c r="G303" s="67"/>
    </row>
    <row r="304" ht="15.75" customHeight="1">
      <c r="B304" s="65"/>
      <c r="C304" s="65"/>
      <c r="D304" s="65"/>
      <c r="E304" s="66"/>
      <c r="F304" s="65"/>
      <c r="G304" s="67"/>
    </row>
    <row r="305" ht="15.75" customHeight="1">
      <c r="B305" s="65"/>
      <c r="C305" s="65"/>
      <c r="D305" s="65"/>
      <c r="E305" s="66"/>
      <c r="F305" s="65"/>
      <c r="G305" s="67"/>
    </row>
    <row r="306" ht="15.75" customHeight="1">
      <c r="B306" s="65"/>
      <c r="C306" s="65"/>
      <c r="D306" s="65"/>
      <c r="E306" s="66"/>
      <c r="F306" s="65"/>
      <c r="G306" s="67"/>
    </row>
    <row r="307" ht="15.75" customHeight="1">
      <c r="B307" s="65"/>
      <c r="C307" s="65"/>
      <c r="D307" s="65"/>
      <c r="E307" s="66"/>
      <c r="F307" s="65"/>
      <c r="G307" s="67"/>
    </row>
    <row r="308" ht="15.75" customHeight="1">
      <c r="B308" s="65"/>
      <c r="C308" s="65"/>
      <c r="D308" s="65"/>
      <c r="E308" s="66"/>
      <c r="F308" s="65"/>
      <c r="G308" s="67"/>
    </row>
    <row r="309" ht="15.75" customHeight="1">
      <c r="B309" s="65"/>
      <c r="C309" s="65"/>
      <c r="D309" s="65"/>
      <c r="E309" s="66"/>
      <c r="F309" s="65"/>
      <c r="G309" s="67"/>
    </row>
    <row r="310" ht="15.75" customHeight="1">
      <c r="B310" s="65"/>
      <c r="C310" s="65"/>
      <c r="D310" s="65"/>
      <c r="E310" s="66"/>
      <c r="F310" s="65"/>
      <c r="G310" s="67"/>
    </row>
    <row r="311" ht="15.75" customHeight="1">
      <c r="B311" s="65"/>
      <c r="C311" s="65"/>
      <c r="D311" s="65"/>
      <c r="E311" s="66"/>
      <c r="F311" s="65"/>
      <c r="G311" s="67"/>
    </row>
    <row r="312" ht="15.75" customHeight="1">
      <c r="B312" s="65"/>
      <c r="C312" s="65"/>
      <c r="D312" s="65"/>
      <c r="E312" s="66"/>
      <c r="F312" s="65"/>
      <c r="G312" s="67"/>
    </row>
    <row r="313" ht="15.75" customHeight="1">
      <c r="B313" s="65"/>
      <c r="C313" s="65"/>
      <c r="D313" s="65"/>
      <c r="E313" s="66"/>
      <c r="F313" s="65"/>
      <c r="G313" s="67"/>
    </row>
    <row r="314" ht="15.75" customHeight="1">
      <c r="B314" s="65"/>
      <c r="C314" s="65"/>
      <c r="D314" s="65"/>
      <c r="E314" s="66"/>
      <c r="F314" s="65"/>
      <c r="G314" s="67"/>
    </row>
    <row r="315" ht="15.75" customHeight="1">
      <c r="B315" s="65"/>
      <c r="C315" s="65"/>
      <c r="D315" s="65"/>
      <c r="E315" s="66"/>
      <c r="F315" s="65"/>
      <c r="G315" s="67"/>
    </row>
    <row r="316" ht="15.75" customHeight="1">
      <c r="B316" s="65"/>
      <c r="C316" s="65"/>
      <c r="D316" s="65"/>
      <c r="E316" s="66"/>
      <c r="F316" s="65"/>
      <c r="G316" s="67"/>
    </row>
    <row r="317" ht="15.75" customHeight="1">
      <c r="B317" s="65"/>
      <c r="C317" s="65"/>
      <c r="D317" s="65"/>
      <c r="E317" s="66"/>
      <c r="F317" s="65"/>
      <c r="G317" s="67"/>
    </row>
    <row r="318" ht="15.75" customHeight="1">
      <c r="B318" s="65"/>
      <c r="C318" s="65"/>
      <c r="D318" s="65"/>
      <c r="E318" s="66"/>
      <c r="F318" s="65"/>
      <c r="G318" s="67"/>
    </row>
    <row r="319" ht="15.75" customHeight="1">
      <c r="B319" s="65"/>
      <c r="C319" s="65"/>
      <c r="D319" s="65"/>
      <c r="E319" s="66"/>
      <c r="F319" s="65"/>
      <c r="G319" s="67"/>
    </row>
    <row r="320" ht="15.75" customHeight="1">
      <c r="B320" s="65"/>
      <c r="C320" s="65"/>
      <c r="D320" s="65"/>
      <c r="E320" s="66"/>
      <c r="F320" s="65"/>
      <c r="G320" s="67"/>
    </row>
    <row r="321" ht="15.75" customHeight="1">
      <c r="B321" s="65"/>
      <c r="C321" s="65"/>
      <c r="D321" s="65"/>
      <c r="E321" s="66"/>
      <c r="F321" s="65"/>
      <c r="G321" s="67"/>
    </row>
    <row r="322" ht="15.75" customHeight="1">
      <c r="B322" s="65"/>
      <c r="C322" s="65"/>
      <c r="D322" s="65"/>
      <c r="E322" s="66"/>
      <c r="F322" s="65"/>
      <c r="G322" s="67"/>
    </row>
    <row r="323" ht="15.75" customHeight="1">
      <c r="B323" s="65"/>
      <c r="C323" s="65"/>
      <c r="D323" s="65"/>
      <c r="E323" s="66"/>
      <c r="F323" s="65"/>
      <c r="G323" s="67"/>
    </row>
    <row r="324" ht="15.75" customHeight="1">
      <c r="B324" s="65"/>
      <c r="C324" s="65"/>
      <c r="D324" s="65"/>
      <c r="E324" s="66"/>
      <c r="F324" s="65"/>
      <c r="G324" s="67"/>
    </row>
    <row r="325" ht="15.75" customHeight="1">
      <c r="B325" s="65"/>
      <c r="C325" s="65"/>
      <c r="D325" s="65"/>
      <c r="E325" s="66"/>
      <c r="F325" s="65"/>
      <c r="G325" s="67"/>
    </row>
    <row r="326" ht="15.75" customHeight="1">
      <c r="B326" s="65"/>
      <c r="C326" s="65"/>
      <c r="D326" s="65"/>
      <c r="E326" s="66"/>
      <c r="F326" s="65"/>
      <c r="G326" s="67"/>
    </row>
    <row r="327" ht="15.75" customHeight="1">
      <c r="B327" s="65"/>
      <c r="C327" s="65"/>
      <c r="D327" s="65"/>
      <c r="E327" s="66"/>
      <c r="F327" s="65"/>
      <c r="G327" s="67"/>
    </row>
    <row r="328" ht="15.75" customHeight="1">
      <c r="B328" s="65"/>
      <c r="C328" s="65"/>
      <c r="D328" s="65"/>
      <c r="E328" s="66"/>
      <c r="F328" s="65"/>
      <c r="G328" s="67"/>
    </row>
    <row r="329" ht="15.75" customHeight="1">
      <c r="B329" s="65"/>
      <c r="C329" s="65"/>
      <c r="D329" s="65"/>
      <c r="E329" s="66"/>
      <c r="F329" s="65"/>
      <c r="G329" s="67"/>
    </row>
    <row r="330" ht="15.75" customHeight="1">
      <c r="B330" s="65"/>
      <c r="C330" s="65"/>
      <c r="D330" s="65"/>
      <c r="E330" s="66"/>
      <c r="F330" s="65"/>
      <c r="G330" s="67"/>
    </row>
    <row r="331" ht="15.75" customHeight="1">
      <c r="B331" s="65"/>
      <c r="C331" s="65"/>
      <c r="D331" s="65"/>
      <c r="E331" s="66"/>
      <c r="F331" s="65"/>
      <c r="G331" s="67"/>
    </row>
    <row r="332" ht="15.75" customHeight="1">
      <c r="B332" s="65"/>
      <c r="C332" s="65"/>
      <c r="D332" s="65"/>
      <c r="E332" s="66"/>
      <c r="F332" s="65"/>
      <c r="G332" s="67"/>
    </row>
    <row r="333" ht="15.75" customHeight="1">
      <c r="B333" s="65"/>
      <c r="C333" s="65"/>
      <c r="D333" s="65"/>
      <c r="E333" s="66"/>
      <c r="F333" s="65"/>
      <c r="G333" s="67"/>
    </row>
    <row r="334" ht="15.75" customHeight="1">
      <c r="B334" s="65"/>
      <c r="C334" s="65"/>
      <c r="D334" s="65"/>
      <c r="E334" s="66"/>
      <c r="F334" s="65"/>
      <c r="G334" s="67"/>
    </row>
    <row r="335" ht="15.75" customHeight="1">
      <c r="B335" s="65"/>
      <c r="C335" s="65"/>
      <c r="D335" s="65"/>
      <c r="E335" s="66"/>
      <c r="F335" s="65"/>
      <c r="G335" s="67"/>
    </row>
    <row r="336" ht="15.75" customHeight="1">
      <c r="B336" s="65"/>
      <c r="C336" s="65"/>
      <c r="D336" s="65"/>
      <c r="E336" s="66"/>
      <c r="F336" s="65"/>
      <c r="G336" s="67"/>
    </row>
    <row r="337" ht="15.75" customHeight="1">
      <c r="B337" s="65"/>
      <c r="C337" s="65"/>
      <c r="D337" s="65"/>
      <c r="E337" s="66"/>
      <c r="F337" s="65"/>
      <c r="G337" s="67"/>
    </row>
    <row r="338" ht="15.75" customHeight="1">
      <c r="B338" s="65"/>
      <c r="C338" s="65"/>
      <c r="D338" s="65"/>
      <c r="E338" s="66"/>
      <c r="F338" s="65"/>
      <c r="G338" s="67"/>
    </row>
    <row r="339" ht="15.75" customHeight="1">
      <c r="B339" s="65"/>
      <c r="C339" s="65"/>
      <c r="D339" s="65"/>
      <c r="E339" s="66"/>
      <c r="F339" s="65"/>
      <c r="G339" s="67"/>
    </row>
    <row r="340" ht="15.75" customHeight="1">
      <c r="B340" s="65"/>
      <c r="C340" s="65"/>
      <c r="D340" s="65"/>
      <c r="E340" s="66"/>
      <c r="F340" s="65"/>
      <c r="G340" s="67"/>
    </row>
    <row r="341" ht="15.75" customHeight="1">
      <c r="B341" s="65"/>
      <c r="C341" s="65"/>
      <c r="D341" s="65"/>
      <c r="E341" s="66"/>
      <c r="F341" s="65"/>
      <c r="G341" s="67"/>
    </row>
    <row r="342" ht="15.75" customHeight="1">
      <c r="B342" s="65"/>
      <c r="C342" s="65"/>
      <c r="D342" s="65"/>
      <c r="E342" s="66"/>
      <c r="F342" s="65"/>
      <c r="G342" s="67"/>
    </row>
    <row r="343" ht="15.75" customHeight="1">
      <c r="B343" s="65"/>
      <c r="C343" s="65"/>
      <c r="D343" s="65"/>
      <c r="E343" s="66"/>
      <c r="F343" s="65"/>
      <c r="G343" s="67"/>
    </row>
    <row r="344" ht="15.75" customHeight="1">
      <c r="B344" s="65"/>
      <c r="C344" s="65"/>
      <c r="D344" s="65"/>
      <c r="E344" s="66"/>
      <c r="F344" s="65"/>
      <c r="G344" s="67"/>
    </row>
    <row r="345" ht="15.75" customHeight="1">
      <c r="B345" s="65"/>
      <c r="C345" s="65"/>
      <c r="D345" s="65"/>
      <c r="E345" s="66"/>
      <c r="F345" s="65"/>
      <c r="G345" s="67"/>
    </row>
    <row r="346" ht="15.75" customHeight="1">
      <c r="B346" s="65"/>
      <c r="C346" s="65"/>
      <c r="D346" s="65"/>
      <c r="E346" s="66"/>
      <c r="F346" s="65"/>
      <c r="G346" s="67"/>
    </row>
    <row r="347" ht="15.75" customHeight="1">
      <c r="B347" s="65"/>
      <c r="C347" s="65"/>
      <c r="D347" s="65"/>
      <c r="E347" s="66"/>
      <c r="F347" s="65"/>
      <c r="G347" s="67"/>
    </row>
    <row r="348" ht="15.75" customHeight="1">
      <c r="B348" s="65"/>
      <c r="C348" s="65"/>
      <c r="D348" s="65"/>
      <c r="E348" s="66"/>
      <c r="F348" s="65"/>
      <c r="G348" s="67"/>
    </row>
    <row r="349" ht="15.75" customHeight="1">
      <c r="B349" s="65"/>
      <c r="C349" s="65"/>
      <c r="D349" s="65"/>
      <c r="E349" s="66"/>
      <c r="F349" s="65"/>
      <c r="G349" s="67"/>
    </row>
    <row r="350" ht="15.75" customHeight="1">
      <c r="B350" s="65"/>
      <c r="C350" s="65"/>
      <c r="D350" s="65"/>
      <c r="E350" s="66"/>
      <c r="F350" s="65"/>
      <c r="G350" s="67"/>
    </row>
    <row r="351" ht="15.75" customHeight="1">
      <c r="B351" s="65"/>
      <c r="C351" s="65"/>
      <c r="D351" s="65"/>
      <c r="E351" s="66"/>
      <c r="F351" s="65"/>
      <c r="G351" s="67"/>
    </row>
    <row r="352" ht="15.75" customHeight="1">
      <c r="B352" s="65"/>
      <c r="C352" s="65"/>
      <c r="D352" s="65"/>
      <c r="E352" s="66"/>
      <c r="F352" s="65"/>
      <c r="G352" s="67"/>
    </row>
    <row r="353" ht="15.75" customHeight="1">
      <c r="B353" s="65"/>
      <c r="C353" s="65"/>
      <c r="D353" s="65"/>
      <c r="E353" s="66"/>
      <c r="F353" s="65"/>
      <c r="G353" s="67"/>
    </row>
    <row r="354" ht="15.75" customHeight="1">
      <c r="B354" s="65"/>
      <c r="C354" s="65"/>
      <c r="D354" s="65"/>
      <c r="E354" s="66"/>
      <c r="F354" s="65"/>
      <c r="G354" s="67"/>
    </row>
    <row r="355" ht="15.75" customHeight="1">
      <c r="B355" s="65"/>
      <c r="C355" s="65"/>
      <c r="D355" s="65"/>
      <c r="E355" s="66"/>
      <c r="F355" s="65"/>
      <c r="G355" s="67"/>
    </row>
    <row r="356" ht="15.75" customHeight="1">
      <c r="B356" s="65"/>
      <c r="C356" s="65"/>
      <c r="D356" s="65"/>
      <c r="E356" s="66"/>
      <c r="F356" s="65"/>
      <c r="G356" s="67"/>
    </row>
    <row r="357" ht="15.75" customHeight="1">
      <c r="B357" s="65"/>
      <c r="C357" s="65"/>
      <c r="D357" s="65"/>
      <c r="E357" s="66"/>
      <c r="F357" s="65"/>
      <c r="G357" s="67"/>
    </row>
    <row r="358" ht="15.75" customHeight="1">
      <c r="B358" s="65"/>
      <c r="C358" s="65"/>
      <c r="D358" s="65"/>
      <c r="E358" s="66"/>
      <c r="F358" s="65"/>
      <c r="G358" s="67"/>
    </row>
    <row r="359" ht="15.75" customHeight="1">
      <c r="B359" s="65"/>
      <c r="C359" s="65"/>
      <c r="D359" s="65"/>
      <c r="E359" s="66"/>
      <c r="F359" s="65"/>
      <c r="G359" s="67"/>
    </row>
    <row r="360" ht="15.75" customHeight="1">
      <c r="B360" s="65"/>
      <c r="C360" s="65"/>
      <c r="D360" s="65"/>
      <c r="E360" s="66"/>
      <c r="F360" s="65"/>
      <c r="G360" s="67"/>
    </row>
    <row r="361" ht="15.75" customHeight="1">
      <c r="B361" s="65"/>
      <c r="C361" s="65"/>
      <c r="D361" s="65"/>
      <c r="E361" s="66"/>
      <c r="F361" s="65"/>
      <c r="G361" s="67"/>
    </row>
    <row r="362" ht="15.75" customHeight="1">
      <c r="B362" s="65"/>
      <c r="C362" s="65"/>
      <c r="D362" s="65"/>
      <c r="E362" s="66"/>
      <c r="F362" s="65"/>
      <c r="G362" s="67"/>
    </row>
    <row r="363" ht="15.75" customHeight="1">
      <c r="B363" s="65"/>
      <c r="C363" s="65"/>
      <c r="D363" s="65"/>
      <c r="E363" s="66"/>
      <c r="F363" s="65"/>
      <c r="G363" s="67"/>
    </row>
    <row r="364" ht="15.75" customHeight="1">
      <c r="B364" s="65"/>
      <c r="C364" s="65"/>
      <c r="D364" s="65"/>
      <c r="E364" s="66"/>
      <c r="F364" s="65"/>
      <c r="G364" s="67"/>
    </row>
    <row r="365" ht="15.75" customHeight="1">
      <c r="B365" s="65"/>
      <c r="C365" s="65"/>
      <c r="D365" s="65"/>
      <c r="E365" s="66"/>
      <c r="F365" s="65"/>
      <c r="G365" s="67"/>
    </row>
    <row r="366" ht="15.75" customHeight="1">
      <c r="B366" s="65"/>
      <c r="C366" s="65"/>
      <c r="D366" s="65"/>
      <c r="E366" s="66"/>
      <c r="F366" s="65"/>
      <c r="G366" s="67"/>
    </row>
    <row r="367" ht="15.75" customHeight="1">
      <c r="B367" s="65"/>
      <c r="C367" s="65"/>
      <c r="D367" s="65"/>
      <c r="E367" s="66"/>
      <c r="F367" s="65"/>
      <c r="G367" s="67"/>
    </row>
    <row r="368" ht="15.75" customHeight="1">
      <c r="B368" s="65"/>
      <c r="C368" s="65"/>
      <c r="D368" s="65"/>
      <c r="E368" s="66"/>
      <c r="F368" s="65"/>
      <c r="G368" s="67"/>
    </row>
    <row r="369" ht="15.75" customHeight="1">
      <c r="B369" s="65"/>
      <c r="C369" s="65"/>
      <c r="D369" s="65"/>
      <c r="E369" s="66"/>
      <c r="F369" s="65"/>
      <c r="G369" s="67"/>
    </row>
    <row r="370" ht="15.75" customHeight="1">
      <c r="B370" s="65"/>
      <c r="C370" s="65"/>
      <c r="D370" s="65"/>
      <c r="E370" s="66"/>
      <c r="F370" s="65"/>
      <c r="G370" s="67"/>
    </row>
    <row r="371" ht="15.75" customHeight="1">
      <c r="B371" s="65"/>
      <c r="C371" s="65"/>
      <c r="D371" s="65"/>
      <c r="E371" s="66"/>
      <c r="F371" s="65"/>
      <c r="G371" s="67"/>
    </row>
    <row r="372" ht="15.75" customHeight="1">
      <c r="B372" s="65"/>
      <c r="C372" s="65"/>
      <c r="D372" s="65"/>
      <c r="E372" s="66"/>
      <c r="F372" s="65"/>
      <c r="G372" s="67"/>
    </row>
    <row r="373" ht="15.75" customHeight="1">
      <c r="B373" s="65"/>
      <c r="C373" s="65"/>
      <c r="D373" s="65"/>
      <c r="E373" s="66"/>
      <c r="F373" s="65"/>
      <c r="G373" s="67"/>
    </row>
    <row r="374" ht="15.75" customHeight="1">
      <c r="B374" s="65"/>
      <c r="C374" s="65"/>
      <c r="D374" s="65"/>
      <c r="E374" s="66"/>
      <c r="F374" s="65"/>
      <c r="G374" s="67"/>
    </row>
    <row r="375" ht="15.75" customHeight="1">
      <c r="B375" s="65"/>
      <c r="C375" s="65"/>
      <c r="D375" s="65"/>
      <c r="E375" s="66"/>
      <c r="F375" s="65"/>
      <c r="G375" s="67"/>
    </row>
    <row r="376" ht="15.75" customHeight="1">
      <c r="B376" s="65"/>
      <c r="C376" s="65"/>
      <c r="D376" s="65"/>
      <c r="E376" s="66"/>
      <c r="F376" s="65"/>
      <c r="G376" s="67"/>
    </row>
    <row r="377" ht="15.75" customHeight="1">
      <c r="B377" s="65"/>
      <c r="C377" s="65"/>
      <c r="D377" s="65"/>
      <c r="E377" s="66"/>
      <c r="F377" s="65"/>
      <c r="G377" s="67"/>
    </row>
    <row r="378" ht="15.75" customHeight="1">
      <c r="B378" s="65"/>
      <c r="C378" s="65"/>
      <c r="D378" s="65"/>
      <c r="E378" s="66"/>
      <c r="F378" s="65"/>
      <c r="G378" s="67"/>
    </row>
    <row r="379" ht="15.75" customHeight="1">
      <c r="B379" s="65"/>
      <c r="C379" s="65"/>
      <c r="D379" s="65"/>
      <c r="E379" s="66"/>
      <c r="F379" s="65"/>
      <c r="G379" s="67"/>
    </row>
    <row r="380" ht="15.75" customHeight="1">
      <c r="B380" s="65"/>
      <c r="C380" s="65"/>
      <c r="D380" s="65"/>
      <c r="E380" s="66"/>
      <c r="F380" s="65"/>
      <c r="G380" s="67"/>
    </row>
    <row r="381" ht="15.75" customHeight="1">
      <c r="B381" s="65"/>
      <c r="C381" s="65"/>
      <c r="D381" s="65"/>
      <c r="E381" s="66"/>
      <c r="F381" s="65"/>
      <c r="G381" s="67"/>
    </row>
    <row r="382" ht="15.75" customHeight="1">
      <c r="B382" s="65"/>
      <c r="C382" s="65"/>
      <c r="D382" s="65"/>
      <c r="E382" s="66"/>
      <c r="F382" s="65"/>
      <c r="G382" s="67"/>
    </row>
    <row r="383" ht="15.75" customHeight="1">
      <c r="B383" s="65"/>
      <c r="C383" s="65"/>
      <c r="D383" s="65"/>
      <c r="E383" s="66"/>
      <c r="F383" s="65"/>
      <c r="G383" s="67"/>
    </row>
    <row r="384" ht="15.75" customHeight="1">
      <c r="B384" s="65"/>
      <c r="C384" s="65"/>
      <c r="D384" s="65"/>
      <c r="E384" s="66"/>
      <c r="F384" s="65"/>
      <c r="G384" s="67"/>
    </row>
    <row r="385" ht="15.75" customHeight="1">
      <c r="B385" s="65"/>
      <c r="C385" s="65"/>
      <c r="D385" s="65"/>
      <c r="E385" s="66"/>
      <c r="F385" s="65"/>
      <c r="G385" s="67"/>
    </row>
    <row r="386" ht="15.75" customHeight="1">
      <c r="B386" s="65"/>
      <c r="C386" s="65"/>
      <c r="D386" s="65"/>
      <c r="E386" s="66"/>
      <c r="F386" s="65"/>
      <c r="G386" s="67"/>
    </row>
    <row r="387" ht="15.75" customHeight="1">
      <c r="B387" s="65"/>
      <c r="C387" s="65"/>
      <c r="D387" s="65"/>
      <c r="E387" s="66"/>
      <c r="F387" s="65"/>
      <c r="G387" s="67"/>
    </row>
    <row r="388" ht="15.75" customHeight="1">
      <c r="B388" s="65"/>
      <c r="C388" s="65"/>
      <c r="D388" s="65"/>
      <c r="E388" s="66"/>
      <c r="F388" s="65"/>
      <c r="G388" s="67"/>
    </row>
    <row r="389" ht="15.75" customHeight="1">
      <c r="B389" s="65"/>
      <c r="C389" s="65"/>
      <c r="D389" s="65"/>
      <c r="E389" s="66"/>
      <c r="F389" s="65"/>
      <c r="G389" s="67"/>
    </row>
    <row r="390" ht="15.75" customHeight="1">
      <c r="B390" s="65"/>
      <c r="C390" s="65"/>
      <c r="D390" s="65"/>
      <c r="E390" s="66"/>
      <c r="F390" s="65"/>
      <c r="G390" s="67"/>
    </row>
    <row r="391" ht="15.75" customHeight="1">
      <c r="B391" s="65"/>
      <c r="C391" s="65"/>
      <c r="D391" s="65"/>
      <c r="E391" s="66"/>
      <c r="F391" s="65"/>
      <c r="G391" s="67"/>
    </row>
    <row r="392" ht="15.75" customHeight="1">
      <c r="B392" s="65"/>
      <c r="C392" s="65"/>
      <c r="D392" s="65"/>
      <c r="E392" s="66"/>
      <c r="F392" s="65"/>
      <c r="G392" s="67"/>
    </row>
    <row r="393" ht="15.75" customHeight="1">
      <c r="B393" s="65"/>
      <c r="C393" s="65"/>
      <c r="D393" s="65"/>
      <c r="E393" s="66"/>
      <c r="F393" s="65"/>
      <c r="G393" s="67"/>
    </row>
    <row r="394" ht="15.75" customHeight="1">
      <c r="B394" s="65"/>
      <c r="C394" s="65"/>
      <c r="D394" s="65"/>
      <c r="E394" s="66"/>
      <c r="F394" s="65"/>
      <c r="G394" s="67"/>
    </row>
    <row r="395" ht="15.75" customHeight="1">
      <c r="B395" s="65"/>
      <c r="C395" s="65"/>
      <c r="D395" s="65"/>
      <c r="E395" s="66"/>
      <c r="F395" s="65"/>
      <c r="G395" s="67"/>
    </row>
    <row r="396" ht="15.75" customHeight="1">
      <c r="B396" s="65"/>
      <c r="C396" s="65"/>
      <c r="D396" s="65"/>
      <c r="E396" s="66"/>
      <c r="F396" s="65"/>
      <c r="G396" s="67"/>
    </row>
    <row r="397" ht="15.75" customHeight="1">
      <c r="B397" s="65"/>
      <c r="C397" s="65"/>
      <c r="D397" s="65"/>
      <c r="E397" s="66"/>
      <c r="F397" s="65"/>
      <c r="G397" s="67"/>
    </row>
    <row r="398" ht="15.75" customHeight="1">
      <c r="B398" s="65"/>
      <c r="C398" s="65"/>
      <c r="D398" s="65"/>
      <c r="E398" s="66"/>
      <c r="F398" s="65"/>
      <c r="G398" s="67"/>
    </row>
    <row r="399" ht="15.75" customHeight="1">
      <c r="B399" s="65"/>
      <c r="C399" s="65"/>
      <c r="D399" s="65"/>
      <c r="E399" s="66"/>
      <c r="F399" s="65"/>
      <c r="G399" s="67"/>
    </row>
    <row r="400" ht="15.75" customHeight="1">
      <c r="B400" s="65"/>
      <c r="C400" s="65"/>
      <c r="D400" s="65"/>
      <c r="E400" s="66"/>
      <c r="F400" s="65"/>
      <c r="G400" s="67"/>
    </row>
    <row r="401" ht="15.75" customHeight="1">
      <c r="B401" s="65"/>
      <c r="C401" s="65"/>
      <c r="D401" s="65"/>
      <c r="E401" s="66"/>
      <c r="F401" s="65"/>
      <c r="G401" s="67"/>
    </row>
    <row r="402" ht="15.75" customHeight="1">
      <c r="B402" s="65"/>
      <c r="C402" s="65"/>
      <c r="D402" s="65"/>
      <c r="E402" s="66"/>
      <c r="F402" s="65"/>
      <c r="G402" s="67"/>
    </row>
    <row r="403" ht="15.75" customHeight="1">
      <c r="B403" s="65"/>
      <c r="C403" s="65"/>
      <c r="D403" s="65"/>
      <c r="E403" s="66"/>
      <c r="F403" s="65"/>
      <c r="G403" s="67"/>
    </row>
    <row r="404" ht="15.75" customHeight="1">
      <c r="B404" s="65"/>
      <c r="C404" s="65"/>
      <c r="D404" s="65"/>
      <c r="E404" s="66"/>
      <c r="F404" s="65"/>
      <c r="G404" s="67"/>
    </row>
    <row r="405" ht="15.75" customHeight="1">
      <c r="B405" s="65"/>
      <c r="C405" s="65"/>
      <c r="D405" s="65"/>
      <c r="E405" s="66"/>
      <c r="F405" s="65"/>
      <c r="G405" s="67"/>
    </row>
    <row r="406" ht="15.75" customHeight="1">
      <c r="B406" s="65"/>
      <c r="C406" s="65"/>
      <c r="D406" s="65"/>
      <c r="E406" s="66"/>
      <c r="F406" s="65"/>
      <c r="G406" s="67"/>
    </row>
    <row r="407" ht="15.75" customHeight="1">
      <c r="B407" s="65"/>
      <c r="C407" s="65"/>
      <c r="D407" s="65"/>
      <c r="E407" s="66"/>
      <c r="F407" s="65"/>
      <c r="G407" s="67"/>
    </row>
    <row r="408" ht="15.75" customHeight="1">
      <c r="B408" s="65"/>
      <c r="C408" s="65"/>
      <c r="D408" s="65"/>
      <c r="E408" s="66"/>
      <c r="F408" s="65"/>
      <c r="G408" s="67"/>
    </row>
    <row r="409" ht="15.75" customHeight="1">
      <c r="B409" s="65"/>
      <c r="C409" s="65"/>
      <c r="D409" s="65"/>
      <c r="E409" s="66"/>
      <c r="F409" s="65"/>
      <c r="G409" s="67"/>
    </row>
    <row r="410" ht="15.75" customHeight="1">
      <c r="B410" s="65"/>
      <c r="C410" s="65"/>
      <c r="D410" s="65"/>
      <c r="E410" s="66"/>
      <c r="F410" s="65"/>
      <c r="G410" s="67"/>
    </row>
    <row r="411" ht="15.75" customHeight="1">
      <c r="B411" s="65"/>
      <c r="C411" s="65"/>
      <c r="D411" s="65"/>
      <c r="E411" s="66"/>
      <c r="F411" s="65"/>
      <c r="G411" s="67"/>
    </row>
    <row r="412" ht="15.75" customHeight="1">
      <c r="B412" s="65"/>
      <c r="C412" s="65"/>
      <c r="D412" s="65"/>
      <c r="E412" s="66"/>
      <c r="F412" s="65"/>
      <c r="G412" s="67"/>
    </row>
    <row r="413" ht="15.75" customHeight="1">
      <c r="B413" s="65"/>
      <c r="C413" s="65"/>
      <c r="D413" s="65"/>
      <c r="E413" s="66"/>
      <c r="F413" s="65"/>
      <c r="G413" s="67"/>
    </row>
    <row r="414" ht="15.75" customHeight="1">
      <c r="B414" s="65"/>
      <c r="C414" s="65"/>
      <c r="D414" s="65"/>
      <c r="E414" s="66"/>
      <c r="F414" s="65"/>
      <c r="G414" s="67"/>
    </row>
    <row r="415" ht="15.75" customHeight="1">
      <c r="B415" s="65"/>
      <c r="C415" s="65"/>
      <c r="D415" s="65"/>
      <c r="E415" s="66"/>
      <c r="F415" s="65"/>
      <c r="G415" s="67"/>
    </row>
    <row r="416" ht="15.75" customHeight="1">
      <c r="B416" s="65"/>
      <c r="C416" s="65"/>
      <c r="D416" s="65"/>
      <c r="E416" s="66"/>
      <c r="F416" s="65"/>
      <c r="G416" s="67"/>
    </row>
    <row r="417" ht="15.75" customHeight="1">
      <c r="B417" s="65"/>
      <c r="C417" s="65"/>
      <c r="D417" s="65"/>
      <c r="E417" s="66"/>
      <c r="F417" s="65"/>
      <c r="G417" s="67"/>
    </row>
    <row r="418" ht="15.75" customHeight="1">
      <c r="B418" s="65"/>
      <c r="C418" s="65"/>
      <c r="D418" s="65"/>
      <c r="E418" s="66"/>
      <c r="F418" s="65"/>
      <c r="G418" s="67"/>
    </row>
    <row r="419" ht="15.75" customHeight="1">
      <c r="B419" s="65"/>
      <c r="C419" s="65"/>
      <c r="D419" s="65"/>
      <c r="E419" s="66"/>
      <c r="F419" s="65"/>
      <c r="G419" s="67"/>
    </row>
    <row r="420" ht="15.75" customHeight="1">
      <c r="B420" s="65"/>
      <c r="C420" s="65"/>
      <c r="D420" s="65"/>
      <c r="E420" s="66"/>
      <c r="F420" s="65"/>
      <c r="G420" s="67"/>
    </row>
    <row r="421" ht="15.75" customHeight="1">
      <c r="B421" s="65"/>
      <c r="C421" s="65"/>
      <c r="D421" s="65"/>
      <c r="E421" s="66"/>
      <c r="F421" s="65"/>
      <c r="G421" s="67"/>
    </row>
    <row r="422" ht="15.75" customHeight="1">
      <c r="B422" s="65"/>
      <c r="C422" s="65"/>
      <c r="D422" s="65"/>
      <c r="E422" s="66"/>
      <c r="F422" s="65"/>
      <c r="G422" s="67"/>
    </row>
    <row r="423" ht="15.75" customHeight="1">
      <c r="B423" s="65"/>
      <c r="C423" s="65"/>
      <c r="D423" s="65"/>
      <c r="E423" s="66"/>
      <c r="F423" s="65"/>
      <c r="G423" s="67"/>
    </row>
    <row r="424" ht="15.75" customHeight="1">
      <c r="B424" s="65"/>
      <c r="C424" s="65"/>
      <c r="D424" s="65"/>
      <c r="E424" s="66"/>
      <c r="F424" s="65"/>
      <c r="G424" s="67"/>
    </row>
    <row r="425" ht="15.75" customHeight="1">
      <c r="B425" s="65"/>
      <c r="C425" s="65"/>
      <c r="D425" s="65"/>
      <c r="E425" s="66"/>
      <c r="F425" s="65"/>
      <c r="G425" s="67"/>
    </row>
    <row r="426" ht="15.75" customHeight="1">
      <c r="B426" s="65"/>
      <c r="C426" s="65"/>
      <c r="D426" s="65"/>
      <c r="E426" s="66"/>
      <c r="F426" s="65"/>
      <c r="G426" s="67"/>
    </row>
    <row r="427" ht="15.75" customHeight="1">
      <c r="B427" s="65"/>
      <c r="C427" s="65"/>
      <c r="D427" s="65"/>
      <c r="E427" s="66"/>
      <c r="F427" s="65"/>
      <c r="G427" s="67"/>
    </row>
    <row r="428" ht="15.75" customHeight="1">
      <c r="B428" s="65"/>
      <c r="C428" s="65"/>
      <c r="D428" s="65"/>
      <c r="E428" s="66"/>
      <c r="F428" s="65"/>
      <c r="G428" s="67"/>
    </row>
    <row r="429" ht="15.75" customHeight="1">
      <c r="B429" s="65"/>
      <c r="C429" s="65"/>
      <c r="D429" s="65"/>
      <c r="E429" s="66"/>
      <c r="F429" s="65"/>
      <c r="G429" s="67"/>
    </row>
    <row r="430" ht="15.75" customHeight="1">
      <c r="B430" s="65"/>
      <c r="C430" s="65"/>
      <c r="D430" s="65"/>
      <c r="E430" s="66"/>
      <c r="F430" s="65"/>
      <c r="G430" s="67"/>
    </row>
    <row r="431" ht="15.75" customHeight="1">
      <c r="B431" s="65"/>
      <c r="C431" s="65"/>
      <c r="D431" s="65"/>
      <c r="E431" s="66"/>
      <c r="F431" s="65"/>
      <c r="G431" s="67"/>
    </row>
    <row r="432" ht="15.75" customHeight="1">
      <c r="B432" s="65"/>
      <c r="C432" s="65"/>
      <c r="D432" s="65"/>
      <c r="E432" s="66"/>
      <c r="F432" s="65"/>
      <c r="G432" s="67"/>
    </row>
    <row r="433" ht="15.75" customHeight="1">
      <c r="B433" s="65"/>
      <c r="C433" s="65"/>
      <c r="D433" s="65"/>
      <c r="E433" s="66"/>
      <c r="F433" s="65"/>
      <c r="G433" s="67"/>
    </row>
    <row r="434" ht="15.75" customHeight="1">
      <c r="B434" s="65"/>
      <c r="C434" s="65"/>
      <c r="D434" s="65"/>
      <c r="E434" s="66"/>
      <c r="F434" s="65"/>
      <c r="G434" s="67"/>
    </row>
    <row r="435" ht="15.75" customHeight="1">
      <c r="B435" s="65"/>
      <c r="C435" s="65"/>
      <c r="D435" s="65"/>
      <c r="E435" s="66"/>
      <c r="F435" s="65"/>
      <c r="G435" s="67"/>
    </row>
    <row r="436" ht="15.75" customHeight="1">
      <c r="B436" s="65"/>
      <c r="C436" s="65"/>
      <c r="D436" s="65"/>
      <c r="E436" s="66"/>
      <c r="F436" s="65"/>
      <c r="G436" s="67"/>
    </row>
    <row r="437" ht="15.75" customHeight="1">
      <c r="B437" s="65"/>
      <c r="C437" s="65"/>
      <c r="D437" s="65"/>
      <c r="E437" s="66"/>
      <c r="F437" s="65"/>
      <c r="G437" s="67"/>
    </row>
    <row r="438" ht="15.75" customHeight="1">
      <c r="B438" s="65"/>
      <c r="C438" s="65"/>
      <c r="D438" s="65"/>
      <c r="E438" s="66"/>
      <c r="F438" s="65"/>
      <c r="G438" s="67"/>
    </row>
    <row r="439" ht="15.75" customHeight="1">
      <c r="B439" s="65"/>
      <c r="C439" s="65"/>
      <c r="D439" s="65"/>
      <c r="E439" s="66"/>
      <c r="F439" s="65"/>
      <c r="G439" s="67"/>
    </row>
    <row r="440" ht="15.75" customHeight="1">
      <c r="B440" s="65"/>
      <c r="C440" s="65"/>
      <c r="D440" s="65"/>
      <c r="E440" s="66"/>
      <c r="F440" s="65"/>
      <c r="G440" s="67"/>
    </row>
    <row r="441" ht="15.75" customHeight="1">
      <c r="B441" s="65"/>
      <c r="C441" s="65"/>
      <c r="D441" s="65"/>
      <c r="E441" s="66"/>
      <c r="F441" s="65"/>
      <c r="G441" s="67"/>
    </row>
    <row r="442" ht="15.75" customHeight="1">
      <c r="B442" s="65"/>
      <c r="C442" s="65"/>
      <c r="D442" s="65"/>
      <c r="E442" s="66"/>
      <c r="F442" s="65"/>
      <c r="G442" s="67"/>
    </row>
    <row r="443" ht="15.75" customHeight="1">
      <c r="B443" s="65"/>
      <c r="C443" s="65"/>
      <c r="D443" s="65"/>
      <c r="E443" s="66"/>
      <c r="F443" s="65"/>
      <c r="G443" s="67"/>
    </row>
    <row r="444" ht="15.75" customHeight="1">
      <c r="B444" s="65"/>
      <c r="C444" s="65"/>
      <c r="D444" s="65"/>
      <c r="E444" s="66"/>
      <c r="F444" s="65"/>
      <c r="G444" s="67"/>
    </row>
    <row r="445" ht="15.75" customHeight="1">
      <c r="B445" s="65"/>
      <c r="C445" s="65"/>
      <c r="D445" s="65"/>
      <c r="E445" s="66"/>
      <c r="F445" s="65"/>
      <c r="G445" s="67"/>
    </row>
    <row r="446" ht="15.75" customHeight="1">
      <c r="B446" s="65"/>
      <c r="C446" s="65"/>
      <c r="D446" s="65"/>
      <c r="E446" s="66"/>
      <c r="F446" s="65"/>
      <c r="G446" s="67"/>
    </row>
    <row r="447" ht="15.75" customHeight="1">
      <c r="B447" s="65"/>
      <c r="C447" s="65"/>
      <c r="D447" s="65"/>
      <c r="E447" s="66"/>
      <c r="F447" s="65"/>
      <c r="G447" s="67"/>
    </row>
    <row r="448" ht="15.75" customHeight="1">
      <c r="B448" s="65"/>
      <c r="C448" s="65"/>
      <c r="D448" s="65"/>
      <c r="E448" s="66"/>
      <c r="F448" s="65"/>
      <c r="G448" s="67"/>
    </row>
    <row r="449" ht="15.75" customHeight="1">
      <c r="B449" s="65"/>
      <c r="C449" s="65"/>
      <c r="D449" s="65"/>
      <c r="E449" s="66"/>
      <c r="F449" s="65"/>
      <c r="G449" s="67"/>
    </row>
    <row r="450" ht="15.75" customHeight="1">
      <c r="B450" s="65"/>
      <c r="C450" s="65"/>
      <c r="D450" s="65"/>
      <c r="E450" s="66"/>
      <c r="F450" s="65"/>
      <c r="G450" s="67"/>
    </row>
    <row r="451" ht="15.75" customHeight="1">
      <c r="B451" s="65"/>
      <c r="C451" s="65"/>
      <c r="D451" s="65"/>
      <c r="E451" s="66"/>
      <c r="F451" s="65"/>
      <c r="G451" s="67"/>
    </row>
    <row r="452" ht="15.75" customHeight="1">
      <c r="B452" s="65"/>
      <c r="C452" s="65"/>
      <c r="D452" s="65"/>
      <c r="E452" s="66"/>
      <c r="F452" s="65"/>
      <c r="G452" s="67"/>
    </row>
    <row r="453" ht="15.75" customHeight="1">
      <c r="B453" s="65"/>
      <c r="C453" s="65"/>
      <c r="D453" s="65"/>
      <c r="E453" s="66"/>
      <c r="F453" s="65"/>
      <c r="G453" s="67"/>
    </row>
    <row r="454" ht="15.75" customHeight="1">
      <c r="B454" s="65"/>
      <c r="C454" s="65"/>
      <c r="D454" s="65"/>
      <c r="E454" s="66"/>
      <c r="F454" s="65"/>
      <c r="G454" s="67"/>
    </row>
    <row r="455" ht="15.75" customHeight="1">
      <c r="B455" s="65"/>
      <c r="C455" s="65"/>
      <c r="D455" s="65"/>
      <c r="E455" s="66"/>
      <c r="F455" s="65"/>
      <c r="G455" s="67"/>
    </row>
    <row r="456" ht="15.75" customHeight="1">
      <c r="B456" s="65"/>
      <c r="C456" s="65"/>
      <c r="D456" s="65"/>
      <c r="E456" s="66"/>
      <c r="F456" s="65"/>
      <c r="G456" s="67"/>
    </row>
    <row r="457" ht="15.75" customHeight="1">
      <c r="B457" s="65"/>
      <c r="C457" s="65"/>
      <c r="D457" s="65"/>
      <c r="E457" s="66"/>
      <c r="F457" s="65"/>
      <c r="G457" s="67"/>
    </row>
    <row r="458" ht="15.75" customHeight="1">
      <c r="B458" s="65"/>
      <c r="C458" s="65"/>
      <c r="D458" s="65"/>
      <c r="E458" s="66"/>
      <c r="F458" s="65"/>
      <c r="G458" s="67"/>
    </row>
    <row r="459" ht="15.75" customHeight="1">
      <c r="B459" s="65"/>
      <c r="C459" s="65"/>
      <c r="D459" s="65"/>
      <c r="E459" s="66"/>
      <c r="F459" s="65"/>
      <c r="G459" s="67"/>
    </row>
    <row r="460" ht="15.75" customHeight="1">
      <c r="B460" s="65"/>
      <c r="C460" s="65"/>
      <c r="D460" s="65"/>
      <c r="E460" s="66"/>
      <c r="F460" s="65"/>
      <c r="G460" s="67"/>
    </row>
    <row r="461" ht="15.75" customHeight="1">
      <c r="B461" s="65"/>
      <c r="C461" s="65"/>
      <c r="D461" s="65"/>
      <c r="E461" s="66"/>
      <c r="F461" s="65"/>
      <c r="G461" s="67"/>
    </row>
    <row r="462" ht="15.75" customHeight="1">
      <c r="B462" s="65"/>
      <c r="C462" s="65"/>
      <c r="D462" s="65"/>
      <c r="E462" s="66"/>
      <c r="F462" s="65"/>
      <c r="G462" s="67"/>
    </row>
    <row r="463" ht="15.75" customHeight="1">
      <c r="B463" s="65"/>
      <c r="C463" s="65"/>
      <c r="D463" s="65"/>
      <c r="E463" s="66"/>
      <c r="F463" s="65"/>
      <c r="G463" s="67"/>
    </row>
    <row r="464" ht="15.75" customHeight="1">
      <c r="B464" s="65"/>
      <c r="C464" s="65"/>
      <c r="D464" s="65"/>
      <c r="E464" s="66"/>
      <c r="F464" s="65"/>
      <c r="G464" s="67"/>
    </row>
    <row r="465" ht="15.75" customHeight="1">
      <c r="B465" s="65"/>
      <c r="C465" s="65"/>
      <c r="D465" s="65"/>
      <c r="E465" s="66"/>
      <c r="F465" s="65"/>
      <c r="G465" s="67"/>
    </row>
    <row r="466" ht="15.75" customHeight="1">
      <c r="B466" s="65"/>
      <c r="C466" s="65"/>
      <c r="D466" s="65"/>
      <c r="E466" s="66"/>
      <c r="F466" s="65"/>
      <c r="G466" s="67"/>
    </row>
    <row r="467" ht="15.75" customHeight="1">
      <c r="B467" s="65"/>
      <c r="C467" s="65"/>
      <c r="D467" s="65"/>
      <c r="E467" s="66"/>
      <c r="F467" s="65"/>
      <c r="G467" s="67"/>
    </row>
    <row r="468" ht="15.75" customHeight="1">
      <c r="B468" s="65"/>
      <c r="C468" s="65"/>
      <c r="D468" s="65"/>
      <c r="E468" s="66"/>
      <c r="F468" s="65"/>
      <c r="G468" s="67"/>
    </row>
    <row r="469" ht="15.75" customHeight="1">
      <c r="B469" s="65"/>
      <c r="C469" s="65"/>
      <c r="D469" s="65"/>
      <c r="E469" s="66"/>
      <c r="F469" s="65"/>
      <c r="G469" s="67"/>
    </row>
    <row r="470" ht="15.75" customHeight="1">
      <c r="B470" s="65"/>
      <c r="C470" s="65"/>
      <c r="D470" s="65"/>
      <c r="E470" s="66"/>
      <c r="F470" s="65"/>
      <c r="G470" s="67"/>
    </row>
    <row r="471" ht="15.75" customHeight="1">
      <c r="B471" s="65"/>
      <c r="C471" s="65"/>
      <c r="D471" s="65"/>
      <c r="E471" s="66"/>
      <c r="F471" s="65"/>
      <c r="G471" s="67"/>
    </row>
    <row r="472" ht="15.75" customHeight="1">
      <c r="B472" s="65"/>
      <c r="C472" s="65"/>
      <c r="D472" s="65"/>
      <c r="E472" s="66"/>
      <c r="F472" s="65"/>
      <c r="G472" s="67"/>
    </row>
    <row r="473" ht="15.75" customHeight="1">
      <c r="B473" s="65"/>
      <c r="C473" s="65"/>
      <c r="D473" s="65"/>
      <c r="E473" s="66"/>
      <c r="F473" s="65"/>
      <c r="G473" s="67"/>
    </row>
    <row r="474" ht="15.75" customHeight="1">
      <c r="B474" s="65"/>
      <c r="C474" s="65"/>
      <c r="D474" s="65"/>
      <c r="E474" s="66"/>
      <c r="F474" s="65"/>
      <c r="G474" s="67"/>
    </row>
    <row r="475" ht="15.75" customHeight="1">
      <c r="B475" s="65"/>
      <c r="C475" s="65"/>
      <c r="D475" s="65"/>
      <c r="E475" s="66"/>
      <c r="F475" s="65"/>
      <c r="G475" s="67"/>
    </row>
    <row r="476" ht="15.75" customHeight="1">
      <c r="B476" s="65"/>
      <c r="C476" s="65"/>
      <c r="D476" s="65"/>
      <c r="E476" s="66"/>
      <c r="F476" s="65"/>
      <c r="G476" s="67"/>
    </row>
    <row r="477" ht="15.75" customHeight="1">
      <c r="B477" s="65"/>
      <c r="C477" s="65"/>
      <c r="D477" s="65"/>
      <c r="E477" s="66"/>
      <c r="F477" s="65"/>
      <c r="G477" s="67"/>
    </row>
    <row r="478" ht="15.75" customHeight="1">
      <c r="B478" s="65"/>
      <c r="C478" s="65"/>
      <c r="D478" s="65"/>
      <c r="E478" s="66"/>
      <c r="F478" s="65"/>
      <c r="G478" s="67"/>
    </row>
    <row r="479" ht="15.75" customHeight="1">
      <c r="B479" s="65"/>
      <c r="C479" s="65"/>
      <c r="D479" s="65"/>
      <c r="E479" s="66"/>
      <c r="F479" s="65"/>
      <c r="G479" s="67"/>
    </row>
    <row r="480" ht="15.75" customHeight="1">
      <c r="B480" s="65"/>
      <c r="C480" s="65"/>
      <c r="D480" s="65"/>
      <c r="E480" s="66"/>
      <c r="F480" s="65"/>
      <c r="G480" s="67"/>
    </row>
    <row r="481" ht="15.75" customHeight="1">
      <c r="B481" s="65"/>
      <c r="C481" s="65"/>
      <c r="D481" s="65"/>
      <c r="E481" s="66"/>
      <c r="F481" s="65"/>
      <c r="G481" s="67"/>
    </row>
    <row r="482" ht="15.75" customHeight="1">
      <c r="B482" s="65"/>
      <c r="C482" s="65"/>
      <c r="D482" s="65"/>
      <c r="E482" s="66"/>
      <c r="F482" s="65"/>
      <c r="G482" s="67"/>
    </row>
    <row r="483" ht="15.75" customHeight="1">
      <c r="B483" s="65"/>
      <c r="C483" s="65"/>
      <c r="D483" s="65"/>
      <c r="E483" s="66"/>
      <c r="F483" s="65"/>
      <c r="G483" s="67"/>
    </row>
    <row r="484" ht="15.75" customHeight="1">
      <c r="B484" s="65"/>
      <c r="C484" s="65"/>
      <c r="D484" s="65"/>
      <c r="E484" s="66"/>
      <c r="F484" s="65"/>
      <c r="G484" s="67"/>
    </row>
    <row r="485" ht="15.75" customHeight="1">
      <c r="B485" s="65"/>
      <c r="C485" s="65"/>
      <c r="D485" s="65"/>
      <c r="E485" s="66"/>
      <c r="F485" s="65"/>
      <c r="G485" s="67"/>
    </row>
    <row r="486" ht="15.75" customHeight="1">
      <c r="B486" s="65"/>
      <c r="C486" s="65"/>
      <c r="D486" s="65"/>
      <c r="E486" s="66"/>
      <c r="F486" s="65"/>
      <c r="G486" s="67"/>
    </row>
    <row r="487" ht="15.75" customHeight="1">
      <c r="B487" s="65"/>
      <c r="C487" s="65"/>
      <c r="D487" s="65"/>
      <c r="E487" s="66"/>
      <c r="F487" s="65"/>
      <c r="G487" s="67"/>
    </row>
    <row r="488" ht="15.75" customHeight="1">
      <c r="B488" s="65"/>
      <c r="C488" s="65"/>
      <c r="D488" s="65"/>
      <c r="E488" s="66"/>
      <c r="F488" s="65"/>
      <c r="G488" s="67"/>
    </row>
    <row r="489" ht="15.75" customHeight="1">
      <c r="B489" s="65"/>
      <c r="C489" s="65"/>
      <c r="D489" s="65"/>
      <c r="E489" s="66"/>
      <c r="F489" s="65"/>
      <c r="G489" s="67"/>
    </row>
    <row r="490" ht="15.75" customHeight="1">
      <c r="B490" s="65"/>
      <c r="C490" s="65"/>
      <c r="D490" s="65"/>
      <c r="E490" s="66"/>
      <c r="F490" s="65"/>
      <c r="G490" s="67"/>
    </row>
    <row r="491" ht="15.75" customHeight="1">
      <c r="B491" s="65"/>
      <c r="C491" s="65"/>
      <c r="D491" s="65"/>
      <c r="E491" s="66"/>
      <c r="F491" s="65"/>
      <c r="G491" s="67"/>
    </row>
    <row r="492" ht="15.75" customHeight="1">
      <c r="B492" s="65"/>
      <c r="C492" s="65"/>
      <c r="D492" s="65"/>
      <c r="E492" s="66"/>
      <c r="F492" s="65"/>
      <c r="G492" s="67"/>
    </row>
    <row r="493" ht="15.75" customHeight="1">
      <c r="B493" s="65"/>
      <c r="C493" s="65"/>
      <c r="D493" s="65"/>
      <c r="E493" s="66"/>
      <c r="F493" s="65"/>
      <c r="G493" s="67"/>
    </row>
    <row r="494" ht="15.75" customHeight="1">
      <c r="B494" s="65"/>
      <c r="C494" s="65"/>
      <c r="D494" s="65"/>
      <c r="E494" s="66"/>
      <c r="F494" s="65"/>
      <c r="G494" s="67"/>
    </row>
    <row r="495" ht="15.75" customHeight="1">
      <c r="B495" s="65"/>
      <c r="C495" s="65"/>
      <c r="D495" s="65"/>
      <c r="E495" s="66"/>
      <c r="F495" s="65"/>
      <c r="G495" s="67"/>
    </row>
    <row r="496" ht="15.75" customHeight="1">
      <c r="B496" s="65"/>
      <c r="C496" s="65"/>
      <c r="D496" s="65"/>
      <c r="E496" s="66"/>
      <c r="F496" s="65"/>
      <c r="G496" s="67"/>
    </row>
    <row r="497" ht="15.75" customHeight="1">
      <c r="B497" s="65"/>
      <c r="C497" s="65"/>
      <c r="D497" s="65"/>
      <c r="E497" s="66"/>
      <c r="F497" s="65"/>
      <c r="G497" s="67"/>
    </row>
    <row r="498" ht="15.75" customHeight="1">
      <c r="B498" s="65"/>
      <c r="C498" s="65"/>
      <c r="D498" s="65"/>
      <c r="E498" s="66"/>
      <c r="F498" s="65"/>
      <c r="G498" s="67"/>
    </row>
    <row r="499" ht="15.75" customHeight="1">
      <c r="B499" s="65"/>
      <c r="C499" s="65"/>
      <c r="D499" s="65"/>
      <c r="E499" s="66"/>
      <c r="F499" s="65"/>
      <c r="G499" s="67"/>
    </row>
    <row r="500" ht="15.75" customHeight="1">
      <c r="B500" s="65"/>
      <c r="C500" s="65"/>
      <c r="D500" s="65"/>
      <c r="E500" s="66"/>
      <c r="F500" s="65"/>
      <c r="G500" s="67"/>
    </row>
    <row r="501" ht="15.75" customHeight="1">
      <c r="B501" s="65"/>
      <c r="C501" s="65"/>
      <c r="D501" s="65"/>
      <c r="E501" s="66"/>
      <c r="F501" s="65"/>
      <c r="G501" s="67"/>
    </row>
    <row r="502" ht="15.75" customHeight="1">
      <c r="B502" s="65"/>
      <c r="C502" s="65"/>
      <c r="D502" s="65"/>
      <c r="E502" s="66"/>
      <c r="F502" s="65"/>
      <c r="G502" s="67"/>
    </row>
    <row r="503" ht="15.75" customHeight="1">
      <c r="B503" s="65"/>
      <c r="C503" s="65"/>
      <c r="D503" s="65"/>
      <c r="E503" s="66"/>
      <c r="F503" s="65"/>
      <c r="G503" s="67"/>
    </row>
    <row r="504" ht="15.75" customHeight="1">
      <c r="B504" s="65"/>
      <c r="C504" s="65"/>
      <c r="D504" s="65"/>
      <c r="E504" s="66"/>
      <c r="F504" s="65"/>
      <c r="G504" s="67"/>
    </row>
    <row r="505" ht="15.75" customHeight="1">
      <c r="B505" s="65"/>
      <c r="C505" s="65"/>
      <c r="D505" s="65"/>
      <c r="E505" s="66"/>
      <c r="F505" s="65"/>
      <c r="G505" s="67"/>
    </row>
    <row r="506" ht="15.75" customHeight="1">
      <c r="B506" s="65"/>
      <c r="C506" s="65"/>
      <c r="D506" s="65"/>
      <c r="E506" s="66"/>
      <c r="F506" s="65"/>
      <c r="G506" s="67"/>
    </row>
    <row r="507" ht="15.75" customHeight="1">
      <c r="B507" s="65"/>
      <c r="C507" s="65"/>
      <c r="D507" s="65"/>
      <c r="E507" s="66"/>
      <c r="F507" s="65"/>
      <c r="G507" s="67"/>
    </row>
    <row r="508" ht="15.75" customHeight="1">
      <c r="B508" s="65"/>
      <c r="C508" s="65"/>
      <c r="D508" s="65"/>
      <c r="E508" s="66"/>
      <c r="F508" s="65"/>
      <c r="G508" s="67"/>
    </row>
    <row r="509" ht="15.75" customHeight="1">
      <c r="B509" s="65"/>
      <c r="C509" s="65"/>
      <c r="D509" s="65"/>
      <c r="E509" s="66"/>
      <c r="F509" s="65"/>
      <c r="G509" s="67"/>
    </row>
    <row r="510" ht="15.75" customHeight="1">
      <c r="B510" s="65"/>
      <c r="C510" s="65"/>
      <c r="D510" s="65"/>
      <c r="E510" s="66"/>
      <c r="F510" s="65"/>
      <c r="G510" s="67"/>
    </row>
    <row r="511" ht="15.75" customHeight="1">
      <c r="B511" s="65"/>
      <c r="C511" s="65"/>
      <c r="D511" s="65"/>
      <c r="E511" s="66"/>
      <c r="F511" s="65"/>
      <c r="G511" s="67"/>
    </row>
    <row r="512" ht="15.75" customHeight="1">
      <c r="B512" s="65"/>
      <c r="C512" s="65"/>
      <c r="D512" s="65"/>
      <c r="E512" s="66"/>
      <c r="F512" s="65"/>
      <c r="G512" s="67"/>
    </row>
    <row r="513" ht="15.75" customHeight="1">
      <c r="B513" s="65"/>
      <c r="C513" s="65"/>
      <c r="D513" s="65"/>
      <c r="E513" s="66"/>
      <c r="F513" s="65"/>
      <c r="G513" s="67"/>
    </row>
    <row r="514" ht="15.75" customHeight="1">
      <c r="B514" s="65"/>
      <c r="C514" s="65"/>
      <c r="D514" s="65"/>
      <c r="E514" s="66"/>
      <c r="F514" s="65"/>
      <c r="G514" s="67"/>
    </row>
    <row r="515" ht="15.75" customHeight="1">
      <c r="B515" s="65"/>
      <c r="C515" s="65"/>
      <c r="D515" s="65"/>
      <c r="E515" s="66"/>
      <c r="F515" s="65"/>
      <c r="G515" s="67"/>
    </row>
    <row r="516" ht="15.75" customHeight="1">
      <c r="B516" s="65"/>
      <c r="C516" s="65"/>
      <c r="D516" s="65"/>
      <c r="E516" s="66"/>
      <c r="F516" s="65"/>
      <c r="G516" s="67"/>
    </row>
    <row r="517" ht="15.75" customHeight="1">
      <c r="B517" s="65"/>
      <c r="C517" s="65"/>
      <c r="D517" s="65"/>
      <c r="E517" s="66"/>
      <c r="F517" s="65"/>
      <c r="G517" s="67"/>
    </row>
    <row r="518" ht="15.75" customHeight="1">
      <c r="B518" s="65"/>
      <c r="C518" s="65"/>
      <c r="D518" s="65"/>
      <c r="E518" s="66"/>
      <c r="F518" s="65"/>
      <c r="G518" s="67"/>
    </row>
    <row r="519" ht="15.75" customHeight="1">
      <c r="B519" s="65"/>
      <c r="C519" s="65"/>
      <c r="D519" s="65"/>
      <c r="E519" s="66"/>
      <c r="F519" s="65"/>
      <c r="G519" s="67"/>
    </row>
    <row r="520" ht="15.75" customHeight="1">
      <c r="B520" s="65"/>
      <c r="C520" s="65"/>
      <c r="D520" s="65"/>
      <c r="E520" s="66"/>
      <c r="F520" s="65"/>
      <c r="G520" s="67"/>
    </row>
    <row r="521" ht="15.75" customHeight="1">
      <c r="B521" s="65"/>
      <c r="C521" s="65"/>
      <c r="D521" s="65"/>
      <c r="E521" s="66"/>
      <c r="F521" s="65"/>
      <c r="G521" s="67"/>
    </row>
    <row r="522" ht="15.75" customHeight="1">
      <c r="B522" s="65"/>
      <c r="C522" s="65"/>
      <c r="D522" s="65"/>
      <c r="E522" s="66"/>
      <c r="F522" s="65"/>
      <c r="G522" s="67"/>
    </row>
    <row r="523" ht="15.75" customHeight="1">
      <c r="B523" s="65"/>
      <c r="C523" s="65"/>
      <c r="D523" s="65"/>
      <c r="E523" s="66"/>
      <c r="F523" s="65"/>
      <c r="G523" s="67"/>
    </row>
    <row r="524" ht="15.75" customHeight="1">
      <c r="B524" s="65"/>
      <c r="C524" s="65"/>
      <c r="D524" s="65"/>
      <c r="E524" s="66"/>
      <c r="F524" s="65"/>
      <c r="G524" s="67"/>
    </row>
    <row r="525" ht="15.75" customHeight="1">
      <c r="B525" s="65"/>
      <c r="C525" s="65"/>
      <c r="D525" s="65"/>
      <c r="E525" s="66"/>
      <c r="F525" s="65"/>
      <c r="G525" s="67"/>
    </row>
    <row r="526" ht="15.75" customHeight="1">
      <c r="B526" s="65"/>
      <c r="C526" s="65"/>
      <c r="D526" s="65"/>
      <c r="E526" s="66"/>
      <c r="F526" s="65"/>
      <c r="G526" s="67"/>
    </row>
    <row r="527" ht="15.75" customHeight="1">
      <c r="B527" s="65"/>
      <c r="C527" s="65"/>
      <c r="D527" s="65"/>
      <c r="E527" s="66"/>
      <c r="F527" s="65"/>
      <c r="G527" s="67"/>
    </row>
    <row r="528" ht="15.75" customHeight="1">
      <c r="B528" s="65"/>
      <c r="C528" s="65"/>
      <c r="D528" s="65"/>
      <c r="E528" s="66"/>
      <c r="F528" s="65"/>
      <c r="G528" s="67"/>
    </row>
    <row r="529" ht="15.75" customHeight="1">
      <c r="B529" s="65"/>
      <c r="C529" s="65"/>
      <c r="D529" s="65"/>
      <c r="E529" s="66"/>
      <c r="F529" s="65"/>
      <c r="G529" s="67"/>
    </row>
    <row r="530" ht="15.75" customHeight="1">
      <c r="B530" s="65"/>
      <c r="C530" s="65"/>
      <c r="D530" s="65"/>
      <c r="E530" s="66"/>
      <c r="F530" s="65"/>
      <c r="G530" s="67"/>
    </row>
    <row r="531" ht="15.75" customHeight="1">
      <c r="B531" s="65"/>
      <c r="C531" s="65"/>
      <c r="D531" s="65"/>
      <c r="E531" s="66"/>
      <c r="F531" s="65"/>
      <c r="G531" s="67"/>
    </row>
    <row r="532" ht="15.75" customHeight="1">
      <c r="B532" s="65"/>
      <c r="C532" s="65"/>
      <c r="D532" s="65"/>
      <c r="E532" s="66"/>
      <c r="F532" s="65"/>
      <c r="G532" s="67"/>
    </row>
    <row r="533" ht="15.75" customHeight="1">
      <c r="B533" s="65"/>
      <c r="C533" s="65"/>
      <c r="D533" s="65"/>
      <c r="E533" s="66"/>
      <c r="F533" s="65"/>
      <c r="G533" s="67"/>
    </row>
    <row r="534" ht="15.75" customHeight="1">
      <c r="B534" s="65"/>
      <c r="C534" s="65"/>
      <c r="D534" s="65"/>
      <c r="E534" s="66"/>
      <c r="F534" s="65"/>
      <c r="G534" s="67"/>
    </row>
    <row r="535" ht="15.75" customHeight="1">
      <c r="B535" s="65"/>
      <c r="C535" s="65"/>
      <c r="D535" s="65"/>
      <c r="E535" s="66"/>
      <c r="F535" s="65"/>
      <c r="G535" s="67"/>
    </row>
    <row r="536" ht="15.75" customHeight="1">
      <c r="B536" s="65"/>
      <c r="C536" s="65"/>
      <c r="D536" s="65"/>
      <c r="E536" s="66"/>
      <c r="F536" s="65"/>
      <c r="G536" s="67"/>
    </row>
    <row r="537" ht="15.75" customHeight="1">
      <c r="B537" s="65"/>
      <c r="C537" s="65"/>
      <c r="D537" s="65"/>
      <c r="E537" s="66"/>
      <c r="F537" s="65"/>
      <c r="G537" s="67"/>
    </row>
    <row r="538" ht="15.75" customHeight="1">
      <c r="B538" s="65"/>
      <c r="C538" s="65"/>
      <c r="D538" s="65"/>
      <c r="E538" s="66"/>
      <c r="F538" s="65"/>
      <c r="G538" s="67"/>
    </row>
    <row r="539" ht="15.75" customHeight="1">
      <c r="B539" s="65"/>
      <c r="C539" s="65"/>
      <c r="D539" s="65"/>
      <c r="E539" s="66"/>
      <c r="F539" s="65"/>
      <c r="G539" s="67"/>
    </row>
    <row r="540" ht="15.75" customHeight="1">
      <c r="B540" s="65"/>
      <c r="C540" s="65"/>
      <c r="D540" s="65"/>
      <c r="E540" s="66"/>
      <c r="F540" s="65"/>
      <c r="G540" s="67"/>
    </row>
    <row r="541" ht="15.75" customHeight="1">
      <c r="B541" s="65"/>
      <c r="C541" s="65"/>
      <c r="D541" s="65"/>
      <c r="E541" s="66"/>
      <c r="F541" s="65"/>
      <c r="G541" s="67"/>
    </row>
    <row r="542" ht="15.75" customHeight="1">
      <c r="B542" s="65"/>
      <c r="C542" s="65"/>
      <c r="D542" s="65"/>
      <c r="E542" s="66"/>
      <c r="F542" s="65"/>
      <c r="G542" s="67"/>
    </row>
    <row r="543" ht="15.75" customHeight="1">
      <c r="B543" s="65"/>
      <c r="C543" s="65"/>
      <c r="D543" s="65"/>
      <c r="E543" s="66"/>
      <c r="F543" s="65"/>
      <c r="G543" s="67"/>
    </row>
    <row r="544" ht="15.75" customHeight="1">
      <c r="B544" s="65"/>
      <c r="C544" s="65"/>
      <c r="D544" s="65"/>
      <c r="E544" s="66"/>
      <c r="F544" s="65"/>
      <c r="G544" s="67"/>
    </row>
    <row r="545" ht="15.75" customHeight="1">
      <c r="B545" s="65"/>
      <c r="C545" s="65"/>
      <c r="D545" s="65"/>
      <c r="E545" s="66"/>
      <c r="F545" s="65"/>
      <c r="G545" s="67"/>
    </row>
    <row r="546" ht="15.75" customHeight="1">
      <c r="B546" s="65"/>
      <c r="C546" s="65"/>
      <c r="D546" s="65"/>
      <c r="E546" s="66"/>
      <c r="F546" s="65"/>
      <c r="G546" s="67"/>
    </row>
    <row r="547" ht="15.75" customHeight="1">
      <c r="B547" s="65"/>
      <c r="C547" s="65"/>
      <c r="D547" s="65"/>
      <c r="E547" s="66"/>
      <c r="F547" s="65"/>
      <c r="G547" s="67"/>
    </row>
    <row r="548" ht="15.75" customHeight="1">
      <c r="B548" s="65"/>
      <c r="C548" s="65"/>
      <c r="D548" s="65"/>
      <c r="E548" s="66"/>
      <c r="F548" s="65"/>
      <c r="G548" s="67"/>
    </row>
    <row r="549" ht="15.75" customHeight="1">
      <c r="B549" s="65"/>
      <c r="C549" s="65"/>
      <c r="D549" s="65"/>
      <c r="E549" s="66"/>
      <c r="F549" s="65"/>
      <c r="G549" s="67"/>
    </row>
    <row r="550" ht="15.75" customHeight="1">
      <c r="B550" s="65"/>
      <c r="C550" s="65"/>
      <c r="D550" s="65"/>
      <c r="E550" s="66"/>
      <c r="F550" s="65"/>
      <c r="G550" s="67"/>
    </row>
    <row r="551" ht="15.75" customHeight="1">
      <c r="B551" s="65"/>
      <c r="C551" s="65"/>
      <c r="D551" s="65"/>
      <c r="E551" s="66"/>
      <c r="F551" s="65"/>
      <c r="G551" s="67"/>
    </row>
    <row r="552" ht="15.75" customHeight="1">
      <c r="B552" s="65"/>
      <c r="C552" s="65"/>
      <c r="D552" s="65"/>
      <c r="E552" s="66"/>
      <c r="F552" s="65"/>
      <c r="G552" s="67"/>
    </row>
    <row r="553" ht="15.75" customHeight="1">
      <c r="B553" s="65"/>
      <c r="C553" s="65"/>
      <c r="D553" s="65"/>
      <c r="E553" s="66"/>
      <c r="F553" s="65"/>
      <c r="G553" s="67"/>
    </row>
    <row r="554" ht="15.75" customHeight="1">
      <c r="B554" s="65"/>
      <c r="C554" s="65"/>
      <c r="D554" s="65"/>
      <c r="E554" s="66"/>
      <c r="F554" s="65"/>
      <c r="G554" s="67"/>
    </row>
    <row r="555" ht="15.75" customHeight="1">
      <c r="B555" s="65"/>
      <c r="C555" s="65"/>
      <c r="D555" s="65"/>
      <c r="E555" s="66"/>
      <c r="F555" s="65"/>
      <c r="G555" s="67"/>
    </row>
    <row r="556" ht="15.75" customHeight="1">
      <c r="B556" s="65"/>
      <c r="C556" s="65"/>
      <c r="D556" s="65"/>
      <c r="E556" s="66"/>
      <c r="F556" s="65"/>
      <c r="G556" s="67"/>
    </row>
    <row r="557" ht="15.75" customHeight="1">
      <c r="B557" s="65"/>
      <c r="C557" s="65"/>
      <c r="D557" s="65"/>
      <c r="E557" s="66"/>
      <c r="F557" s="65"/>
      <c r="G557" s="67"/>
    </row>
    <row r="558" ht="15.75" customHeight="1">
      <c r="B558" s="65"/>
      <c r="C558" s="65"/>
      <c r="D558" s="65"/>
      <c r="E558" s="66"/>
      <c r="F558" s="65"/>
      <c r="G558" s="67"/>
    </row>
    <row r="559" ht="15.75" customHeight="1">
      <c r="B559" s="65"/>
      <c r="C559" s="65"/>
      <c r="D559" s="65"/>
      <c r="E559" s="66"/>
      <c r="F559" s="65"/>
      <c r="G559" s="67"/>
    </row>
    <row r="560" ht="15.75" customHeight="1">
      <c r="B560" s="65"/>
      <c r="C560" s="65"/>
      <c r="D560" s="65"/>
      <c r="E560" s="66"/>
      <c r="F560" s="65"/>
      <c r="G560" s="67"/>
    </row>
    <row r="561" ht="15.75" customHeight="1">
      <c r="B561" s="65"/>
      <c r="C561" s="65"/>
      <c r="D561" s="65"/>
      <c r="E561" s="66"/>
      <c r="F561" s="65"/>
      <c r="G561" s="67"/>
    </row>
    <row r="562" ht="15.75" customHeight="1">
      <c r="B562" s="65"/>
      <c r="C562" s="65"/>
      <c r="D562" s="65"/>
      <c r="E562" s="66"/>
      <c r="F562" s="65"/>
      <c r="G562" s="67"/>
    </row>
    <row r="563" ht="15.75" customHeight="1">
      <c r="B563" s="65"/>
      <c r="C563" s="65"/>
      <c r="D563" s="65"/>
      <c r="E563" s="66"/>
      <c r="F563" s="65"/>
      <c r="G563" s="67"/>
    </row>
    <row r="564" ht="15.75" customHeight="1">
      <c r="B564" s="65"/>
      <c r="C564" s="65"/>
      <c r="D564" s="65"/>
      <c r="E564" s="66"/>
      <c r="F564" s="65"/>
      <c r="G564" s="67"/>
    </row>
    <row r="565" ht="15.75" customHeight="1">
      <c r="B565" s="65"/>
      <c r="C565" s="65"/>
      <c r="D565" s="65"/>
      <c r="E565" s="66"/>
      <c r="F565" s="65"/>
      <c r="G565" s="67"/>
    </row>
    <row r="566" ht="15.75" customHeight="1">
      <c r="B566" s="65"/>
      <c r="C566" s="65"/>
      <c r="D566" s="65"/>
      <c r="E566" s="66"/>
      <c r="F566" s="65"/>
      <c r="G566" s="67"/>
    </row>
    <row r="567" ht="15.75" customHeight="1">
      <c r="B567" s="65"/>
      <c r="C567" s="65"/>
      <c r="D567" s="65"/>
      <c r="E567" s="66"/>
      <c r="F567" s="65"/>
      <c r="G567" s="67"/>
    </row>
    <row r="568" ht="15.75" customHeight="1">
      <c r="B568" s="65"/>
      <c r="C568" s="65"/>
      <c r="D568" s="65"/>
      <c r="E568" s="66"/>
      <c r="F568" s="65"/>
      <c r="G568" s="67"/>
    </row>
    <row r="569" ht="15.75" customHeight="1">
      <c r="B569" s="65"/>
      <c r="C569" s="65"/>
      <c r="D569" s="65"/>
      <c r="E569" s="66"/>
      <c r="F569" s="65"/>
      <c r="G569" s="67"/>
    </row>
    <row r="570" ht="15.75" customHeight="1">
      <c r="B570" s="65"/>
      <c r="C570" s="65"/>
      <c r="D570" s="65"/>
      <c r="E570" s="66"/>
      <c r="F570" s="65"/>
      <c r="G570" s="67"/>
    </row>
    <row r="571" ht="15.75" customHeight="1">
      <c r="B571" s="65"/>
      <c r="C571" s="65"/>
      <c r="D571" s="65"/>
      <c r="E571" s="66"/>
      <c r="F571" s="65"/>
      <c r="G571" s="67"/>
    </row>
    <row r="572" ht="15.75" customHeight="1">
      <c r="B572" s="65"/>
      <c r="C572" s="65"/>
      <c r="D572" s="65"/>
      <c r="E572" s="66"/>
      <c r="F572" s="65"/>
      <c r="G572" s="67"/>
    </row>
    <row r="573" ht="15.75" customHeight="1">
      <c r="B573" s="65"/>
      <c r="C573" s="65"/>
      <c r="D573" s="65"/>
      <c r="E573" s="66"/>
      <c r="F573" s="65"/>
      <c r="G573" s="67"/>
    </row>
    <row r="574" ht="15.75" customHeight="1">
      <c r="B574" s="65"/>
      <c r="C574" s="65"/>
      <c r="D574" s="65"/>
      <c r="E574" s="66"/>
      <c r="F574" s="65"/>
      <c r="G574" s="67"/>
    </row>
    <row r="575" ht="15.75" customHeight="1">
      <c r="B575" s="65"/>
      <c r="C575" s="65"/>
      <c r="D575" s="65"/>
      <c r="E575" s="66"/>
      <c r="F575" s="65"/>
      <c r="G575" s="67"/>
    </row>
    <row r="576" ht="15.75" customHeight="1">
      <c r="B576" s="65"/>
      <c r="C576" s="65"/>
      <c r="D576" s="65"/>
      <c r="E576" s="66"/>
      <c r="F576" s="65"/>
      <c r="G576" s="67"/>
    </row>
    <row r="577" ht="15.75" customHeight="1">
      <c r="B577" s="65"/>
      <c r="C577" s="65"/>
      <c r="D577" s="65"/>
      <c r="E577" s="66"/>
      <c r="F577" s="65"/>
      <c r="G577" s="67"/>
    </row>
    <row r="578" ht="15.75" customHeight="1">
      <c r="B578" s="65"/>
      <c r="C578" s="65"/>
      <c r="D578" s="65"/>
      <c r="E578" s="66"/>
      <c r="F578" s="65"/>
      <c r="G578" s="67"/>
    </row>
    <row r="579" ht="15.75" customHeight="1">
      <c r="B579" s="65"/>
      <c r="C579" s="65"/>
      <c r="D579" s="65"/>
      <c r="E579" s="66"/>
      <c r="F579" s="65"/>
      <c r="G579" s="67"/>
    </row>
    <row r="580" ht="15.75" customHeight="1">
      <c r="B580" s="65"/>
      <c r="C580" s="65"/>
      <c r="D580" s="65"/>
      <c r="E580" s="66"/>
      <c r="F580" s="65"/>
      <c r="G580" s="67"/>
    </row>
    <row r="581" ht="15.75" customHeight="1">
      <c r="B581" s="65"/>
      <c r="C581" s="65"/>
      <c r="D581" s="65"/>
      <c r="E581" s="66"/>
      <c r="F581" s="65"/>
      <c r="G581" s="67"/>
    </row>
    <row r="582" ht="15.75" customHeight="1">
      <c r="B582" s="65"/>
      <c r="C582" s="65"/>
      <c r="D582" s="65"/>
      <c r="E582" s="66"/>
      <c r="F582" s="65"/>
      <c r="G582" s="67"/>
    </row>
    <row r="583" ht="15.75" customHeight="1">
      <c r="B583" s="65"/>
      <c r="C583" s="65"/>
      <c r="D583" s="65"/>
      <c r="E583" s="66"/>
      <c r="F583" s="65"/>
      <c r="G583" s="67"/>
    </row>
    <row r="584" ht="15.75" customHeight="1">
      <c r="B584" s="65"/>
      <c r="C584" s="65"/>
      <c r="D584" s="65"/>
      <c r="E584" s="66"/>
      <c r="F584" s="65"/>
      <c r="G584" s="67"/>
    </row>
    <row r="585" ht="15.75" customHeight="1">
      <c r="B585" s="65"/>
      <c r="C585" s="65"/>
      <c r="D585" s="65"/>
      <c r="E585" s="66"/>
      <c r="F585" s="65"/>
      <c r="G585" s="67"/>
    </row>
    <row r="586" ht="15.75" customHeight="1">
      <c r="B586" s="65"/>
      <c r="C586" s="65"/>
      <c r="D586" s="65"/>
      <c r="E586" s="66"/>
      <c r="F586" s="65"/>
      <c r="G586" s="67"/>
    </row>
    <row r="587" ht="15.75" customHeight="1">
      <c r="B587" s="65"/>
      <c r="C587" s="65"/>
      <c r="D587" s="65"/>
      <c r="E587" s="66"/>
      <c r="F587" s="65"/>
      <c r="G587" s="67"/>
    </row>
    <row r="588" ht="15.75" customHeight="1">
      <c r="B588" s="65"/>
      <c r="C588" s="65"/>
      <c r="D588" s="65"/>
      <c r="E588" s="66"/>
      <c r="F588" s="65"/>
      <c r="G588" s="67"/>
    </row>
    <row r="589" ht="15.75" customHeight="1">
      <c r="B589" s="65"/>
      <c r="C589" s="65"/>
      <c r="D589" s="65"/>
      <c r="E589" s="66"/>
      <c r="F589" s="65"/>
      <c r="G589" s="67"/>
    </row>
    <row r="590" ht="15.75" customHeight="1">
      <c r="B590" s="65"/>
      <c r="C590" s="65"/>
      <c r="D590" s="65"/>
      <c r="E590" s="66"/>
      <c r="F590" s="65"/>
      <c r="G590" s="67"/>
    </row>
    <row r="591" ht="15.75" customHeight="1">
      <c r="B591" s="65"/>
      <c r="C591" s="65"/>
      <c r="D591" s="65"/>
      <c r="E591" s="66"/>
      <c r="F591" s="65"/>
      <c r="G591" s="67"/>
    </row>
    <row r="592" ht="15.75" customHeight="1">
      <c r="B592" s="65"/>
      <c r="C592" s="65"/>
      <c r="D592" s="65"/>
      <c r="E592" s="66"/>
      <c r="F592" s="65"/>
      <c r="G592" s="67"/>
    </row>
    <row r="593" ht="15.75" customHeight="1">
      <c r="B593" s="65"/>
      <c r="C593" s="65"/>
      <c r="D593" s="65"/>
      <c r="E593" s="66"/>
      <c r="F593" s="65"/>
      <c r="G593" s="67"/>
    </row>
    <row r="594" ht="15.75" customHeight="1">
      <c r="B594" s="65"/>
      <c r="C594" s="65"/>
      <c r="D594" s="65"/>
      <c r="E594" s="66"/>
      <c r="F594" s="65"/>
      <c r="G594" s="67"/>
    </row>
    <row r="595" ht="15.75" customHeight="1">
      <c r="B595" s="65"/>
      <c r="C595" s="65"/>
      <c r="D595" s="65"/>
      <c r="E595" s="66"/>
      <c r="F595" s="65"/>
      <c r="G595" s="67"/>
    </row>
    <row r="596" ht="15.75" customHeight="1">
      <c r="B596" s="65"/>
      <c r="C596" s="65"/>
      <c r="D596" s="65"/>
      <c r="E596" s="66"/>
      <c r="F596" s="65"/>
      <c r="G596" s="67"/>
    </row>
    <row r="597" ht="15.75" customHeight="1">
      <c r="B597" s="65"/>
      <c r="C597" s="65"/>
      <c r="D597" s="65"/>
      <c r="E597" s="66"/>
      <c r="F597" s="65"/>
      <c r="G597" s="67"/>
    </row>
    <row r="598" ht="15.75" customHeight="1">
      <c r="B598" s="65"/>
      <c r="C598" s="65"/>
      <c r="D598" s="65"/>
      <c r="E598" s="66"/>
      <c r="F598" s="65"/>
      <c r="G598" s="67"/>
    </row>
    <row r="599" ht="15.75" customHeight="1">
      <c r="B599" s="65"/>
      <c r="C599" s="65"/>
      <c r="D599" s="65"/>
      <c r="E599" s="66"/>
      <c r="F599" s="65"/>
      <c r="G599" s="67"/>
    </row>
    <row r="600" ht="15.75" customHeight="1">
      <c r="B600" s="65"/>
      <c r="C600" s="65"/>
      <c r="D600" s="65"/>
      <c r="E600" s="66"/>
      <c r="F600" s="65"/>
      <c r="G600" s="67"/>
    </row>
    <row r="601" ht="15.75" customHeight="1">
      <c r="B601" s="65"/>
      <c r="C601" s="65"/>
      <c r="D601" s="65"/>
      <c r="E601" s="66"/>
      <c r="F601" s="65"/>
      <c r="G601" s="67"/>
    </row>
    <row r="602" ht="15.75" customHeight="1">
      <c r="B602" s="65"/>
      <c r="C602" s="65"/>
      <c r="D602" s="65"/>
      <c r="E602" s="66"/>
      <c r="F602" s="65"/>
      <c r="G602" s="67"/>
    </row>
    <row r="603" ht="15.75" customHeight="1">
      <c r="B603" s="65"/>
      <c r="C603" s="65"/>
      <c r="D603" s="65"/>
      <c r="E603" s="66"/>
      <c r="F603" s="65"/>
      <c r="G603" s="67"/>
    </row>
    <row r="604" ht="15.75" customHeight="1">
      <c r="B604" s="65"/>
      <c r="C604" s="65"/>
      <c r="D604" s="65"/>
      <c r="E604" s="66"/>
      <c r="F604" s="65"/>
      <c r="G604" s="67"/>
    </row>
    <row r="605" ht="15.75" customHeight="1">
      <c r="B605" s="65"/>
      <c r="C605" s="65"/>
      <c r="D605" s="65"/>
      <c r="E605" s="66"/>
      <c r="F605" s="65"/>
      <c r="G605" s="67"/>
    </row>
    <row r="606" ht="15.75" customHeight="1">
      <c r="B606" s="65"/>
      <c r="C606" s="65"/>
      <c r="D606" s="65"/>
      <c r="E606" s="66"/>
      <c r="F606" s="65"/>
      <c r="G606" s="67"/>
    </row>
    <row r="607" ht="15.75" customHeight="1">
      <c r="B607" s="65"/>
      <c r="C607" s="65"/>
      <c r="D607" s="65"/>
      <c r="E607" s="66"/>
      <c r="F607" s="65"/>
      <c r="G607" s="67"/>
    </row>
    <row r="608" ht="15.75" customHeight="1">
      <c r="B608" s="65"/>
      <c r="C608" s="65"/>
      <c r="D608" s="65"/>
      <c r="E608" s="66"/>
      <c r="F608" s="65"/>
      <c r="G608" s="67"/>
    </row>
    <row r="609" ht="15.75" customHeight="1">
      <c r="B609" s="65"/>
      <c r="C609" s="65"/>
      <c r="D609" s="65"/>
      <c r="E609" s="66"/>
      <c r="F609" s="65"/>
      <c r="G609" s="67"/>
    </row>
    <row r="610" ht="15.75" customHeight="1">
      <c r="B610" s="65"/>
      <c r="C610" s="65"/>
      <c r="D610" s="65"/>
      <c r="E610" s="66"/>
      <c r="F610" s="65"/>
      <c r="G610" s="67"/>
    </row>
    <row r="611" ht="15.75" customHeight="1">
      <c r="B611" s="65"/>
      <c r="C611" s="65"/>
      <c r="D611" s="65"/>
      <c r="E611" s="66"/>
      <c r="F611" s="65"/>
      <c r="G611" s="67"/>
    </row>
    <row r="612" ht="15.75" customHeight="1">
      <c r="B612" s="65"/>
      <c r="C612" s="65"/>
      <c r="D612" s="65"/>
      <c r="E612" s="66"/>
      <c r="F612" s="65"/>
      <c r="G612" s="67"/>
    </row>
    <row r="613" ht="15.75" customHeight="1">
      <c r="B613" s="65"/>
      <c r="C613" s="65"/>
      <c r="D613" s="65"/>
      <c r="E613" s="66"/>
      <c r="F613" s="65"/>
      <c r="G613" s="67"/>
    </row>
    <row r="614" ht="15.75" customHeight="1">
      <c r="B614" s="65"/>
      <c r="C614" s="65"/>
      <c r="D614" s="65"/>
      <c r="E614" s="66"/>
      <c r="F614" s="65"/>
      <c r="G614" s="67"/>
    </row>
    <row r="615" ht="15.75" customHeight="1">
      <c r="B615" s="65"/>
      <c r="C615" s="65"/>
      <c r="D615" s="65"/>
      <c r="E615" s="66"/>
      <c r="F615" s="65"/>
      <c r="G615" s="67"/>
    </row>
    <row r="616" ht="15.75" customHeight="1">
      <c r="B616" s="65"/>
      <c r="C616" s="65"/>
      <c r="D616" s="65"/>
      <c r="E616" s="66"/>
      <c r="F616" s="65"/>
      <c r="G616" s="67"/>
    </row>
    <row r="617" ht="15.75" customHeight="1">
      <c r="B617" s="65"/>
      <c r="C617" s="65"/>
      <c r="D617" s="65"/>
      <c r="E617" s="66"/>
      <c r="F617" s="65"/>
      <c r="G617" s="67"/>
    </row>
    <row r="618" ht="15.75" customHeight="1">
      <c r="B618" s="65"/>
      <c r="C618" s="65"/>
      <c r="D618" s="65"/>
      <c r="E618" s="66"/>
      <c r="F618" s="65"/>
      <c r="G618" s="67"/>
    </row>
    <row r="619" ht="15.75" customHeight="1">
      <c r="B619" s="65"/>
      <c r="C619" s="65"/>
      <c r="D619" s="65"/>
      <c r="E619" s="66"/>
      <c r="F619" s="65"/>
      <c r="G619" s="67"/>
    </row>
    <row r="620" ht="15.75" customHeight="1">
      <c r="B620" s="65"/>
      <c r="C620" s="65"/>
      <c r="D620" s="65"/>
      <c r="E620" s="66"/>
      <c r="F620" s="65"/>
      <c r="G620" s="67"/>
    </row>
    <row r="621" ht="15.75" customHeight="1">
      <c r="B621" s="65"/>
      <c r="C621" s="65"/>
      <c r="D621" s="65"/>
      <c r="E621" s="66"/>
      <c r="F621" s="65"/>
      <c r="G621" s="67"/>
    </row>
    <row r="622" ht="15.75" customHeight="1">
      <c r="B622" s="65"/>
      <c r="C622" s="65"/>
      <c r="D622" s="65"/>
      <c r="E622" s="66"/>
      <c r="F622" s="65"/>
      <c r="G622" s="67"/>
    </row>
    <row r="623" ht="15.75" customHeight="1">
      <c r="B623" s="65"/>
      <c r="C623" s="65"/>
      <c r="D623" s="65"/>
      <c r="E623" s="66"/>
      <c r="F623" s="65"/>
      <c r="G623" s="67"/>
    </row>
    <row r="624" ht="15.75" customHeight="1">
      <c r="B624" s="65"/>
      <c r="C624" s="65"/>
      <c r="D624" s="65"/>
      <c r="E624" s="66"/>
      <c r="F624" s="65"/>
      <c r="G624" s="67"/>
    </row>
    <row r="625" ht="15.75" customHeight="1">
      <c r="B625" s="65"/>
      <c r="C625" s="65"/>
      <c r="D625" s="65"/>
      <c r="E625" s="66"/>
      <c r="F625" s="65"/>
      <c r="G625" s="67"/>
    </row>
    <row r="626" ht="15.75" customHeight="1">
      <c r="B626" s="65"/>
      <c r="C626" s="65"/>
      <c r="D626" s="65"/>
      <c r="E626" s="66"/>
      <c r="F626" s="65"/>
      <c r="G626" s="67"/>
    </row>
    <row r="627" ht="15.75" customHeight="1">
      <c r="B627" s="65"/>
      <c r="C627" s="65"/>
      <c r="D627" s="65"/>
      <c r="E627" s="66"/>
      <c r="F627" s="65"/>
      <c r="G627" s="67"/>
    </row>
    <row r="628" ht="15.75" customHeight="1">
      <c r="B628" s="65"/>
      <c r="C628" s="65"/>
      <c r="D628" s="65"/>
      <c r="E628" s="66"/>
      <c r="F628" s="65"/>
      <c r="G628" s="67"/>
    </row>
    <row r="629" ht="15.75" customHeight="1">
      <c r="B629" s="65"/>
      <c r="C629" s="65"/>
      <c r="D629" s="65"/>
      <c r="E629" s="66"/>
      <c r="F629" s="65"/>
      <c r="G629" s="67"/>
    </row>
    <row r="630" ht="15.75" customHeight="1">
      <c r="B630" s="65"/>
      <c r="C630" s="65"/>
      <c r="D630" s="65"/>
      <c r="E630" s="66"/>
      <c r="F630" s="65"/>
      <c r="G630" s="67"/>
    </row>
    <row r="631" ht="15.75" customHeight="1">
      <c r="B631" s="65"/>
      <c r="C631" s="65"/>
      <c r="D631" s="65"/>
      <c r="E631" s="66"/>
      <c r="F631" s="65"/>
      <c r="G631" s="67"/>
    </row>
    <row r="632" ht="15.75" customHeight="1">
      <c r="B632" s="65"/>
      <c r="C632" s="65"/>
      <c r="D632" s="65"/>
      <c r="E632" s="66"/>
      <c r="F632" s="65"/>
      <c r="G632" s="67"/>
    </row>
    <row r="633" ht="15.75" customHeight="1">
      <c r="B633" s="65"/>
      <c r="C633" s="65"/>
      <c r="D633" s="65"/>
      <c r="E633" s="66"/>
      <c r="F633" s="65"/>
      <c r="G633" s="67"/>
    </row>
    <row r="634" ht="15.75" customHeight="1">
      <c r="B634" s="65"/>
      <c r="C634" s="65"/>
      <c r="D634" s="65"/>
      <c r="E634" s="66"/>
      <c r="F634" s="65"/>
      <c r="G634" s="67"/>
    </row>
    <row r="635" ht="15.75" customHeight="1">
      <c r="B635" s="65"/>
      <c r="C635" s="65"/>
      <c r="D635" s="65"/>
      <c r="E635" s="66"/>
      <c r="F635" s="65"/>
      <c r="G635" s="67"/>
    </row>
    <row r="636" ht="15.75" customHeight="1">
      <c r="B636" s="65"/>
      <c r="C636" s="65"/>
      <c r="D636" s="65"/>
      <c r="E636" s="66"/>
      <c r="F636" s="65"/>
      <c r="G636" s="67"/>
    </row>
    <row r="637" ht="15.75" customHeight="1">
      <c r="B637" s="65"/>
      <c r="C637" s="65"/>
      <c r="D637" s="65"/>
      <c r="E637" s="66"/>
      <c r="F637" s="65"/>
      <c r="G637" s="67"/>
    </row>
    <row r="638" ht="15.75" customHeight="1">
      <c r="B638" s="65"/>
      <c r="C638" s="65"/>
      <c r="D638" s="65"/>
      <c r="E638" s="66"/>
      <c r="F638" s="65"/>
      <c r="G638" s="67"/>
    </row>
    <row r="639" ht="15.75" customHeight="1">
      <c r="B639" s="65"/>
      <c r="C639" s="65"/>
      <c r="D639" s="65"/>
      <c r="E639" s="66"/>
      <c r="F639" s="65"/>
      <c r="G639" s="67"/>
    </row>
    <row r="640" ht="15.75" customHeight="1">
      <c r="B640" s="65"/>
      <c r="C640" s="65"/>
      <c r="D640" s="65"/>
      <c r="E640" s="66"/>
      <c r="F640" s="65"/>
      <c r="G640" s="67"/>
    </row>
    <row r="641" ht="15.75" customHeight="1">
      <c r="B641" s="65"/>
      <c r="C641" s="65"/>
      <c r="D641" s="65"/>
      <c r="E641" s="66"/>
      <c r="F641" s="65"/>
      <c r="G641" s="67"/>
    </row>
    <row r="642" ht="15.75" customHeight="1">
      <c r="B642" s="65"/>
      <c r="C642" s="65"/>
      <c r="D642" s="65"/>
      <c r="E642" s="66"/>
      <c r="F642" s="65"/>
      <c r="G642" s="67"/>
    </row>
    <row r="643" ht="15.75" customHeight="1">
      <c r="B643" s="65"/>
      <c r="C643" s="65"/>
      <c r="D643" s="65"/>
      <c r="E643" s="66"/>
      <c r="F643" s="65"/>
      <c r="G643" s="67"/>
    </row>
    <row r="644" ht="15.75" customHeight="1">
      <c r="B644" s="65"/>
      <c r="C644" s="65"/>
      <c r="D644" s="65"/>
      <c r="E644" s="66"/>
      <c r="F644" s="65"/>
      <c r="G644" s="67"/>
    </row>
    <row r="645" ht="15.75" customHeight="1">
      <c r="B645" s="65"/>
      <c r="C645" s="65"/>
      <c r="D645" s="65"/>
      <c r="E645" s="66"/>
      <c r="F645" s="65"/>
      <c r="G645" s="67"/>
    </row>
    <row r="646" ht="15.75" customHeight="1">
      <c r="B646" s="65"/>
      <c r="C646" s="65"/>
      <c r="D646" s="65"/>
      <c r="E646" s="66"/>
      <c r="F646" s="65"/>
      <c r="G646" s="67"/>
    </row>
    <row r="647" ht="15.75" customHeight="1">
      <c r="B647" s="65"/>
      <c r="C647" s="65"/>
      <c r="D647" s="65"/>
      <c r="E647" s="66"/>
      <c r="F647" s="65"/>
      <c r="G647" s="67"/>
    </row>
    <row r="648" ht="15.75" customHeight="1">
      <c r="B648" s="65"/>
      <c r="C648" s="65"/>
      <c r="D648" s="65"/>
      <c r="E648" s="66"/>
      <c r="F648" s="65"/>
      <c r="G648" s="67"/>
    </row>
    <row r="649" ht="15.75" customHeight="1">
      <c r="B649" s="65"/>
      <c r="C649" s="65"/>
      <c r="D649" s="65"/>
      <c r="E649" s="66"/>
      <c r="F649" s="65"/>
      <c r="G649" s="67"/>
    </row>
    <row r="650" ht="15.75" customHeight="1">
      <c r="B650" s="65"/>
      <c r="C650" s="65"/>
      <c r="D650" s="65"/>
      <c r="E650" s="66"/>
      <c r="F650" s="65"/>
      <c r="G650" s="67"/>
    </row>
    <row r="651" ht="15.75" customHeight="1">
      <c r="B651" s="65"/>
      <c r="C651" s="65"/>
      <c r="D651" s="65"/>
      <c r="E651" s="66"/>
      <c r="F651" s="65"/>
      <c r="G651" s="67"/>
    </row>
    <row r="652" ht="15.75" customHeight="1">
      <c r="B652" s="65"/>
      <c r="C652" s="65"/>
      <c r="D652" s="65"/>
      <c r="E652" s="66"/>
      <c r="F652" s="65"/>
      <c r="G652" s="67"/>
    </row>
    <row r="653" ht="15.75" customHeight="1">
      <c r="B653" s="65"/>
      <c r="C653" s="65"/>
      <c r="D653" s="65"/>
      <c r="E653" s="66"/>
      <c r="F653" s="65"/>
      <c r="G653" s="67"/>
    </row>
    <row r="654" ht="15.75" customHeight="1">
      <c r="B654" s="65"/>
      <c r="C654" s="65"/>
      <c r="D654" s="65"/>
      <c r="E654" s="66"/>
      <c r="F654" s="65"/>
      <c r="G654" s="67"/>
    </row>
    <row r="655" ht="15.75" customHeight="1">
      <c r="B655" s="65"/>
      <c r="C655" s="65"/>
      <c r="D655" s="65"/>
      <c r="E655" s="66"/>
      <c r="F655" s="65"/>
      <c r="G655" s="67"/>
    </row>
    <row r="656" ht="15.75" customHeight="1">
      <c r="B656" s="65"/>
      <c r="C656" s="65"/>
      <c r="D656" s="65"/>
      <c r="E656" s="66"/>
      <c r="F656" s="65"/>
      <c r="G656" s="67"/>
    </row>
    <row r="657" ht="15.75" customHeight="1">
      <c r="B657" s="65"/>
      <c r="C657" s="65"/>
      <c r="D657" s="65"/>
      <c r="E657" s="66"/>
      <c r="F657" s="65"/>
      <c r="G657" s="67"/>
    </row>
    <row r="658" ht="15.75" customHeight="1">
      <c r="B658" s="65"/>
      <c r="C658" s="65"/>
      <c r="D658" s="65"/>
      <c r="E658" s="66"/>
      <c r="F658" s="65"/>
      <c r="G658" s="67"/>
    </row>
    <row r="659" ht="15.75" customHeight="1">
      <c r="B659" s="65"/>
      <c r="C659" s="65"/>
      <c r="D659" s="65"/>
      <c r="E659" s="66"/>
      <c r="F659" s="65"/>
      <c r="G659" s="67"/>
    </row>
    <row r="660" ht="15.75" customHeight="1">
      <c r="B660" s="65"/>
      <c r="C660" s="65"/>
      <c r="D660" s="65"/>
      <c r="E660" s="66"/>
      <c r="F660" s="65"/>
      <c r="G660" s="67"/>
    </row>
    <row r="661" ht="15.75" customHeight="1">
      <c r="B661" s="65"/>
      <c r="C661" s="65"/>
      <c r="D661" s="65"/>
      <c r="E661" s="66"/>
      <c r="F661" s="65"/>
      <c r="G661" s="67"/>
    </row>
    <row r="662" ht="15.75" customHeight="1">
      <c r="B662" s="65"/>
      <c r="C662" s="65"/>
      <c r="D662" s="65"/>
      <c r="E662" s="66"/>
      <c r="F662" s="65"/>
      <c r="G662" s="67"/>
    </row>
    <row r="663" ht="15.75" customHeight="1">
      <c r="B663" s="65"/>
      <c r="C663" s="65"/>
      <c r="D663" s="65"/>
      <c r="E663" s="66"/>
      <c r="F663" s="65"/>
      <c r="G663" s="67"/>
    </row>
    <row r="664" ht="15.75" customHeight="1">
      <c r="B664" s="65"/>
      <c r="C664" s="65"/>
      <c r="D664" s="65"/>
      <c r="E664" s="66"/>
      <c r="F664" s="65"/>
      <c r="G664" s="67"/>
    </row>
    <row r="665" ht="15.75" customHeight="1">
      <c r="B665" s="65"/>
      <c r="C665" s="65"/>
      <c r="D665" s="65"/>
      <c r="E665" s="66"/>
      <c r="F665" s="65"/>
      <c r="G665" s="67"/>
    </row>
    <row r="666" ht="15.75" customHeight="1">
      <c r="B666" s="65"/>
      <c r="C666" s="65"/>
      <c r="D666" s="65"/>
      <c r="E666" s="66"/>
      <c r="F666" s="65"/>
      <c r="G666" s="67"/>
    </row>
    <row r="667" ht="15.75" customHeight="1">
      <c r="B667" s="65"/>
      <c r="C667" s="65"/>
      <c r="D667" s="65"/>
      <c r="E667" s="66"/>
      <c r="F667" s="65"/>
      <c r="G667" s="67"/>
    </row>
    <row r="668" ht="15.75" customHeight="1">
      <c r="B668" s="65"/>
      <c r="C668" s="65"/>
      <c r="D668" s="65"/>
      <c r="E668" s="66"/>
      <c r="F668" s="65"/>
      <c r="G668" s="67"/>
    </row>
    <row r="669" ht="15.75" customHeight="1">
      <c r="B669" s="65"/>
      <c r="C669" s="65"/>
      <c r="D669" s="65"/>
      <c r="E669" s="66"/>
      <c r="F669" s="65"/>
      <c r="G669" s="67"/>
    </row>
    <row r="670" ht="15.75" customHeight="1">
      <c r="B670" s="65"/>
      <c r="C670" s="65"/>
      <c r="D670" s="65"/>
      <c r="E670" s="66"/>
      <c r="F670" s="65"/>
      <c r="G670" s="67"/>
    </row>
    <row r="671" ht="15.75" customHeight="1">
      <c r="B671" s="65"/>
      <c r="C671" s="65"/>
      <c r="D671" s="65"/>
      <c r="E671" s="66"/>
      <c r="F671" s="65"/>
      <c r="G671" s="67"/>
    </row>
    <row r="672" ht="15.75" customHeight="1">
      <c r="B672" s="65"/>
      <c r="C672" s="65"/>
      <c r="D672" s="65"/>
      <c r="E672" s="66"/>
      <c r="F672" s="65"/>
      <c r="G672" s="67"/>
    </row>
    <row r="673" ht="15.75" customHeight="1">
      <c r="B673" s="65"/>
      <c r="C673" s="65"/>
      <c r="D673" s="65"/>
      <c r="E673" s="66"/>
      <c r="F673" s="65"/>
      <c r="G673" s="67"/>
    </row>
    <row r="674" ht="15.75" customHeight="1">
      <c r="B674" s="65"/>
      <c r="C674" s="65"/>
      <c r="D674" s="65"/>
      <c r="E674" s="66"/>
      <c r="F674" s="65"/>
      <c r="G674" s="67"/>
    </row>
    <row r="675" ht="15.75" customHeight="1">
      <c r="B675" s="65"/>
      <c r="C675" s="65"/>
      <c r="D675" s="65"/>
      <c r="E675" s="66"/>
      <c r="F675" s="65"/>
      <c r="G675" s="67"/>
    </row>
    <row r="676" ht="15.75" customHeight="1">
      <c r="B676" s="65"/>
      <c r="C676" s="65"/>
      <c r="D676" s="65"/>
      <c r="E676" s="66"/>
      <c r="F676" s="65"/>
      <c r="G676" s="67"/>
    </row>
    <row r="677" ht="15.75" customHeight="1">
      <c r="B677" s="65"/>
      <c r="C677" s="65"/>
      <c r="D677" s="65"/>
      <c r="E677" s="66"/>
      <c r="F677" s="65"/>
      <c r="G677" s="67"/>
    </row>
    <row r="678" ht="15.75" customHeight="1">
      <c r="B678" s="65"/>
      <c r="C678" s="65"/>
      <c r="D678" s="65"/>
      <c r="E678" s="66"/>
      <c r="F678" s="65"/>
      <c r="G678" s="67"/>
    </row>
    <row r="679" ht="15.75" customHeight="1">
      <c r="B679" s="65"/>
      <c r="C679" s="65"/>
      <c r="D679" s="65"/>
      <c r="E679" s="66"/>
      <c r="F679" s="65"/>
      <c r="G679" s="67"/>
    </row>
    <row r="680" ht="15.75" customHeight="1">
      <c r="B680" s="65"/>
      <c r="C680" s="65"/>
      <c r="D680" s="65"/>
      <c r="E680" s="66"/>
      <c r="F680" s="65"/>
      <c r="G680" s="67"/>
    </row>
    <row r="681" ht="15.75" customHeight="1">
      <c r="B681" s="65"/>
      <c r="C681" s="65"/>
      <c r="D681" s="65"/>
      <c r="E681" s="66"/>
      <c r="F681" s="65"/>
      <c r="G681" s="67"/>
    </row>
    <row r="682" ht="15.75" customHeight="1">
      <c r="B682" s="65"/>
      <c r="C682" s="65"/>
      <c r="D682" s="65"/>
      <c r="E682" s="66"/>
      <c r="F682" s="65"/>
      <c r="G682" s="67"/>
    </row>
    <row r="683" ht="15.75" customHeight="1">
      <c r="B683" s="65"/>
      <c r="C683" s="65"/>
      <c r="D683" s="65"/>
      <c r="E683" s="66"/>
      <c r="F683" s="65"/>
      <c r="G683" s="67"/>
    </row>
    <row r="684" ht="15.75" customHeight="1">
      <c r="B684" s="65"/>
      <c r="C684" s="65"/>
      <c r="D684" s="65"/>
      <c r="E684" s="66"/>
      <c r="F684" s="65"/>
      <c r="G684" s="67"/>
    </row>
    <row r="685" ht="15.75" customHeight="1">
      <c r="B685" s="65"/>
      <c r="C685" s="65"/>
      <c r="D685" s="65"/>
      <c r="E685" s="66"/>
      <c r="F685" s="65"/>
      <c r="G685" s="67"/>
    </row>
    <row r="686" ht="15.75" customHeight="1">
      <c r="B686" s="65"/>
      <c r="C686" s="65"/>
      <c r="D686" s="65"/>
      <c r="E686" s="66"/>
      <c r="F686" s="65"/>
      <c r="G686" s="67"/>
    </row>
    <row r="687" ht="15.75" customHeight="1">
      <c r="B687" s="65"/>
      <c r="C687" s="65"/>
      <c r="D687" s="65"/>
      <c r="E687" s="66"/>
      <c r="F687" s="65"/>
      <c r="G687" s="67"/>
    </row>
    <row r="688" ht="15.75" customHeight="1">
      <c r="B688" s="65"/>
      <c r="C688" s="65"/>
      <c r="D688" s="65"/>
      <c r="E688" s="66"/>
      <c r="F688" s="65"/>
      <c r="G688" s="67"/>
    </row>
    <row r="689" ht="15.75" customHeight="1">
      <c r="B689" s="65"/>
      <c r="C689" s="65"/>
      <c r="D689" s="65"/>
      <c r="E689" s="66"/>
      <c r="F689" s="65"/>
      <c r="G689" s="67"/>
    </row>
    <row r="690" ht="15.75" customHeight="1">
      <c r="B690" s="65"/>
      <c r="C690" s="65"/>
      <c r="D690" s="65"/>
      <c r="E690" s="66"/>
      <c r="F690" s="65"/>
      <c r="G690" s="67"/>
    </row>
    <row r="691" ht="15.75" customHeight="1">
      <c r="B691" s="65"/>
      <c r="C691" s="65"/>
      <c r="D691" s="65"/>
      <c r="E691" s="66"/>
      <c r="F691" s="65"/>
      <c r="G691" s="67"/>
    </row>
    <row r="692" ht="15.75" customHeight="1">
      <c r="B692" s="65"/>
      <c r="C692" s="65"/>
      <c r="D692" s="65"/>
      <c r="E692" s="66"/>
      <c r="F692" s="65"/>
      <c r="G692" s="67"/>
    </row>
    <row r="693" ht="15.75" customHeight="1">
      <c r="B693" s="65"/>
      <c r="C693" s="65"/>
      <c r="D693" s="65"/>
      <c r="E693" s="66"/>
      <c r="F693" s="65"/>
      <c r="G693" s="67"/>
    </row>
    <row r="694" ht="15.75" customHeight="1">
      <c r="B694" s="65"/>
      <c r="C694" s="65"/>
      <c r="D694" s="65"/>
      <c r="E694" s="66"/>
      <c r="F694" s="65"/>
      <c r="G694" s="67"/>
    </row>
    <row r="695" ht="15.75" customHeight="1">
      <c r="B695" s="65"/>
      <c r="C695" s="65"/>
      <c r="D695" s="65"/>
      <c r="E695" s="66"/>
      <c r="F695" s="65"/>
      <c r="G695" s="67"/>
    </row>
    <row r="696" ht="15.75" customHeight="1">
      <c r="B696" s="65"/>
      <c r="C696" s="65"/>
      <c r="D696" s="65"/>
      <c r="E696" s="66"/>
      <c r="F696" s="65"/>
      <c r="G696" s="67"/>
    </row>
    <row r="697" ht="15.75" customHeight="1">
      <c r="B697" s="65"/>
      <c r="C697" s="65"/>
      <c r="D697" s="65"/>
      <c r="E697" s="66"/>
      <c r="F697" s="65"/>
      <c r="G697" s="67"/>
    </row>
    <row r="698" ht="15.75" customHeight="1">
      <c r="B698" s="65"/>
      <c r="C698" s="65"/>
      <c r="D698" s="65"/>
      <c r="E698" s="66"/>
      <c r="F698" s="65"/>
      <c r="G698" s="67"/>
    </row>
    <row r="699" ht="15.75" customHeight="1">
      <c r="B699" s="65"/>
      <c r="C699" s="65"/>
      <c r="D699" s="65"/>
      <c r="E699" s="66"/>
      <c r="F699" s="65"/>
      <c r="G699" s="67"/>
    </row>
    <row r="700" ht="15.75" customHeight="1">
      <c r="B700" s="65"/>
      <c r="C700" s="65"/>
      <c r="D700" s="65"/>
      <c r="E700" s="66"/>
      <c r="F700" s="65"/>
      <c r="G700" s="67"/>
    </row>
    <row r="701" ht="15.75" customHeight="1">
      <c r="B701" s="65"/>
      <c r="C701" s="65"/>
      <c r="D701" s="65"/>
      <c r="E701" s="66"/>
      <c r="F701" s="65"/>
      <c r="G701" s="67"/>
    </row>
    <row r="702" ht="15.75" customHeight="1">
      <c r="B702" s="65"/>
      <c r="C702" s="65"/>
      <c r="D702" s="65"/>
      <c r="E702" s="66"/>
      <c r="F702" s="65"/>
      <c r="G702" s="67"/>
    </row>
    <row r="703" ht="15.75" customHeight="1">
      <c r="B703" s="65"/>
      <c r="C703" s="65"/>
      <c r="D703" s="65"/>
      <c r="E703" s="66"/>
      <c r="F703" s="65"/>
      <c r="G703" s="67"/>
    </row>
    <row r="704" ht="15.75" customHeight="1">
      <c r="B704" s="65"/>
      <c r="C704" s="65"/>
      <c r="D704" s="65"/>
      <c r="E704" s="66"/>
      <c r="F704" s="65"/>
      <c r="G704" s="67"/>
    </row>
    <row r="705" ht="15.75" customHeight="1">
      <c r="B705" s="65"/>
      <c r="C705" s="65"/>
      <c r="D705" s="65"/>
      <c r="E705" s="66"/>
      <c r="F705" s="65"/>
      <c r="G705" s="67"/>
    </row>
    <row r="706" ht="15.75" customHeight="1">
      <c r="B706" s="65"/>
      <c r="C706" s="65"/>
      <c r="D706" s="65"/>
      <c r="E706" s="66"/>
      <c r="F706" s="65"/>
      <c r="G706" s="67"/>
    </row>
    <row r="707" ht="15.75" customHeight="1">
      <c r="B707" s="65"/>
      <c r="C707" s="65"/>
      <c r="D707" s="65"/>
      <c r="E707" s="66"/>
      <c r="F707" s="65"/>
      <c r="G707" s="67"/>
    </row>
    <row r="708" ht="15.75" customHeight="1">
      <c r="B708" s="65"/>
      <c r="C708" s="65"/>
      <c r="D708" s="65"/>
      <c r="E708" s="66"/>
      <c r="F708" s="65"/>
      <c r="G708" s="67"/>
    </row>
    <row r="709" ht="15.75" customHeight="1">
      <c r="B709" s="65"/>
      <c r="C709" s="65"/>
      <c r="D709" s="65"/>
      <c r="E709" s="66"/>
      <c r="F709" s="65"/>
      <c r="G709" s="67"/>
    </row>
    <row r="710" ht="15.75" customHeight="1">
      <c r="B710" s="65"/>
      <c r="C710" s="65"/>
      <c r="D710" s="65"/>
      <c r="E710" s="66"/>
      <c r="F710" s="65"/>
      <c r="G710" s="67"/>
    </row>
    <row r="711" ht="15.75" customHeight="1">
      <c r="B711" s="65"/>
      <c r="C711" s="65"/>
      <c r="D711" s="65"/>
      <c r="E711" s="66"/>
      <c r="F711" s="65"/>
      <c r="G711" s="67"/>
    </row>
    <row r="712" ht="15.75" customHeight="1">
      <c r="B712" s="65"/>
      <c r="C712" s="65"/>
      <c r="D712" s="65"/>
      <c r="E712" s="66"/>
      <c r="F712" s="65"/>
      <c r="G712" s="67"/>
    </row>
    <row r="713" ht="15.75" customHeight="1">
      <c r="B713" s="65"/>
      <c r="C713" s="65"/>
      <c r="D713" s="65"/>
      <c r="E713" s="66"/>
      <c r="F713" s="65"/>
      <c r="G713" s="67"/>
    </row>
    <row r="714" ht="15.75" customHeight="1">
      <c r="B714" s="65"/>
      <c r="C714" s="65"/>
      <c r="D714" s="65"/>
      <c r="E714" s="66"/>
      <c r="F714" s="65"/>
      <c r="G714" s="67"/>
    </row>
    <row r="715" ht="15.75" customHeight="1">
      <c r="B715" s="65"/>
      <c r="C715" s="65"/>
      <c r="D715" s="65"/>
      <c r="E715" s="66"/>
      <c r="F715" s="65"/>
      <c r="G715" s="67"/>
    </row>
    <row r="716" ht="15.75" customHeight="1">
      <c r="B716" s="65"/>
      <c r="C716" s="65"/>
      <c r="D716" s="65"/>
      <c r="E716" s="66"/>
      <c r="F716" s="65"/>
      <c r="G716" s="67"/>
    </row>
    <row r="717" ht="15.75" customHeight="1">
      <c r="B717" s="65"/>
      <c r="C717" s="65"/>
      <c r="D717" s="65"/>
      <c r="E717" s="66"/>
      <c r="F717" s="65"/>
      <c r="G717" s="67"/>
    </row>
    <row r="718" ht="15.75" customHeight="1">
      <c r="B718" s="65"/>
      <c r="C718" s="65"/>
      <c r="D718" s="65"/>
      <c r="E718" s="66"/>
      <c r="F718" s="65"/>
      <c r="G718" s="67"/>
    </row>
    <row r="719" ht="15.75" customHeight="1">
      <c r="B719" s="65"/>
      <c r="C719" s="65"/>
      <c r="D719" s="65"/>
      <c r="E719" s="66"/>
      <c r="F719" s="65"/>
      <c r="G719" s="67"/>
    </row>
    <row r="720" ht="15.75" customHeight="1">
      <c r="B720" s="65"/>
      <c r="C720" s="65"/>
      <c r="D720" s="65"/>
      <c r="E720" s="66"/>
      <c r="F720" s="65"/>
      <c r="G720" s="67"/>
    </row>
    <row r="721" ht="15.75" customHeight="1">
      <c r="B721" s="65"/>
      <c r="C721" s="65"/>
      <c r="D721" s="65"/>
      <c r="E721" s="66"/>
      <c r="F721" s="65"/>
      <c r="G721" s="67"/>
    </row>
    <row r="722" ht="15.75" customHeight="1">
      <c r="B722" s="65"/>
      <c r="C722" s="65"/>
      <c r="D722" s="65"/>
      <c r="E722" s="66"/>
      <c r="F722" s="65"/>
      <c r="G722" s="67"/>
    </row>
    <row r="723" ht="15.75" customHeight="1">
      <c r="B723" s="65"/>
      <c r="C723" s="65"/>
      <c r="D723" s="65"/>
      <c r="E723" s="66"/>
      <c r="F723" s="65"/>
      <c r="G723" s="67"/>
    </row>
    <row r="724" ht="15.75" customHeight="1">
      <c r="B724" s="65"/>
      <c r="C724" s="65"/>
      <c r="D724" s="65"/>
      <c r="E724" s="66"/>
      <c r="F724" s="65"/>
      <c r="G724" s="67"/>
    </row>
    <row r="725" ht="15.75" customHeight="1">
      <c r="B725" s="65"/>
      <c r="C725" s="65"/>
      <c r="D725" s="65"/>
      <c r="E725" s="66"/>
      <c r="F725" s="65"/>
      <c r="G725" s="67"/>
    </row>
    <row r="726" ht="15.75" customHeight="1">
      <c r="B726" s="65"/>
      <c r="C726" s="65"/>
      <c r="D726" s="65"/>
      <c r="E726" s="66"/>
      <c r="F726" s="65"/>
      <c r="G726" s="67"/>
    </row>
    <row r="727" ht="15.75" customHeight="1">
      <c r="B727" s="65"/>
      <c r="C727" s="65"/>
      <c r="D727" s="65"/>
      <c r="E727" s="66"/>
      <c r="F727" s="65"/>
      <c r="G727" s="67"/>
    </row>
    <row r="728" ht="15.75" customHeight="1">
      <c r="B728" s="65"/>
      <c r="C728" s="65"/>
      <c r="D728" s="65"/>
      <c r="E728" s="66"/>
      <c r="F728" s="65"/>
      <c r="G728" s="67"/>
    </row>
    <row r="729" ht="15.75" customHeight="1">
      <c r="B729" s="65"/>
      <c r="C729" s="65"/>
      <c r="D729" s="65"/>
      <c r="E729" s="66"/>
      <c r="F729" s="65"/>
      <c r="G729" s="67"/>
    </row>
    <row r="730" ht="15.75" customHeight="1">
      <c r="B730" s="65"/>
      <c r="C730" s="65"/>
      <c r="D730" s="65"/>
      <c r="E730" s="66"/>
      <c r="F730" s="65"/>
      <c r="G730" s="67"/>
    </row>
    <row r="731" ht="15.75" customHeight="1">
      <c r="B731" s="65"/>
      <c r="C731" s="65"/>
      <c r="D731" s="65"/>
      <c r="E731" s="66"/>
      <c r="F731" s="65"/>
      <c r="G731" s="67"/>
    </row>
    <row r="732" ht="15.75" customHeight="1">
      <c r="B732" s="65"/>
      <c r="C732" s="65"/>
      <c r="D732" s="65"/>
      <c r="E732" s="66"/>
      <c r="F732" s="65"/>
      <c r="G732" s="67"/>
    </row>
    <row r="733" ht="15.75" customHeight="1">
      <c r="B733" s="65"/>
      <c r="C733" s="65"/>
      <c r="D733" s="65"/>
      <c r="E733" s="66"/>
      <c r="F733" s="65"/>
      <c r="G733" s="67"/>
    </row>
    <row r="734" ht="15.75" customHeight="1">
      <c r="B734" s="65"/>
      <c r="C734" s="65"/>
      <c r="D734" s="65"/>
      <c r="E734" s="66"/>
      <c r="F734" s="65"/>
      <c r="G734" s="67"/>
    </row>
    <row r="735" ht="15.75" customHeight="1">
      <c r="B735" s="65"/>
      <c r="C735" s="65"/>
      <c r="D735" s="65"/>
      <c r="E735" s="66"/>
      <c r="F735" s="65"/>
      <c r="G735" s="67"/>
    </row>
    <row r="736" ht="15.75" customHeight="1">
      <c r="B736" s="65"/>
      <c r="C736" s="65"/>
      <c r="D736" s="65"/>
      <c r="E736" s="66"/>
      <c r="F736" s="65"/>
      <c r="G736" s="67"/>
    </row>
    <row r="737" ht="15.75" customHeight="1">
      <c r="B737" s="65"/>
      <c r="C737" s="65"/>
      <c r="D737" s="65"/>
      <c r="E737" s="66"/>
      <c r="F737" s="65"/>
      <c r="G737" s="67"/>
    </row>
    <row r="738" ht="15.75" customHeight="1">
      <c r="B738" s="65"/>
      <c r="C738" s="65"/>
      <c r="D738" s="65"/>
      <c r="E738" s="66"/>
      <c r="F738" s="65"/>
      <c r="G738" s="67"/>
    </row>
    <row r="739" ht="15.75" customHeight="1">
      <c r="B739" s="65"/>
      <c r="C739" s="65"/>
      <c r="D739" s="65"/>
      <c r="E739" s="66"/>
      <c r="F739" s="65"/>
      <c r="G739" s="67"/>
    </row>
    <row r="740" ht="15.75" customHeight="1">
      <c r="B740" s="65"/>
      <c r="C740" s="65"/>
      <c r="D740" s="65"/>
      <c r="E740" s="66"/>
      <c r="F740" s="65"/>
      <c r="G740" s="67"/>
    </row>
    <row r="741" ht="15.75" customHeight="1">
      <c r="B741" s="65"/>
      <c r="C741" s="65"/>
      <c r="D741" s="65"/>
      <c r="E741" s="66"/>
      <c r="F741" s="65"/>
      <c r="G741" s="67"/>
    </row>
    <row r="742" ht="15.75" customHeight="1">
      <c r="B742" s="65"/>
      <c r="C742" s="65"/>
      <c r="D742" s="65"/>
      <c r="E742" s="66"/>
      <c r="F742" s="65"/>
      <c r="G742" s="67"/>
    </row>
    <row r="743" ht="15.75" customHeight="1">
      <c r="B743" s="65"/>
      <c r="C743" s="65"/>
      <c r="D743" s="65"/>
      <c r="E743" s="66"/>
      <c r="F743" s="65"/>
      <c r="G743" s="67"/>
    </row>
    <row r="744" ht="15.75" customHeight="1">
      <c r="B744" s="65"/>
      <c r="C744" s="65"/>
      <c r="D744" s="65"/>
      <c r="E744" s="66"/>
      <c r="F744" s="65"/>
      <c r="G744" s="67"/>
    </row>
    <row r="745" ht="15.75" customHeight="1">
      <c r="B745" s="65"/>
      <c r="C745" s="65"/>
      <c r="D745" s="65"/>
      <c r="E745" s="66"/>
      <c r="F745" s="65"/>
      <c r="G745" s="67"/>
    </row>
    <row r="746" ht="15.75" customHeight="1">
      <c r="B746" s="65"/>
      <c r="C746" s="65"/>
      <c r="D746" s="65"/>
      <c r="E746" s="66"/>
      <c r="F746" s="65"/>
      <c r="G746" s="67"/>
    </row>
    <row r="747" ht="15.75" customHeight="1">
      <c r="B747" s="65"/>
      <c r="C747" s="65"/>
      <c r="D747" s="65"/>
      <c r="E747" s="66"/>
      <c r="F747" s="65"/>
      <c r="G747" s="67"/>
    </row>
    <row r="748" ht="15.75" customHeight="1">
      <c r="B748" s="65"/>
      <c r="C748" s="65"/>
      <c r="D748" s="65"/>
      <c r="E748" s="66"/>
      <c r="F748" s="65"/>
      <c r="G748" s="67"/>
    </row>
    <row r="749" ht="15.75" customHeight="1">
      <c r="B749" s="65"/>
      <c r="C749" s="65"/>
      <c r="D749" s="65"/>
      <c r="E749" s="66"/>
      <c r="F749" s="65"/>
      <c r="G749" s="67"/>
    </row>
    <row r="750" ht="15.75" customHeight="1">
      <c r="B750" s="65"/>
      <c r="C750" s="65"/>
      <c r="D750" s="65"/>
      <c r="E750" s="66"/>
      <c r="F750" s="65"/>
      <c r="G750" s="67"/>
    </row>
    <row r="751" ht="15.75" customHeight="1">
      <c r="B751" s="65"/>
      <c r="C751" s="65"/>
      <c r="D751" s="65"/>
      <c r="E751" s="66"/>
      <c r="F751" s="65"/>
      <c r="G751" s="67"/>
    </row>
    <row r="752" ht="15.75" customHeight="1">
      <c r="B752" s="65"/>
      <c r="C752" s="65"/>
      <c r="D752" s="65"/>
      <c r="E752" s="66"/>
      <c r="F752" s="65"/>
      <c r="G752" s="67"/>
    </row>
    <row r="753" ht="15.75" customHeight="1">
      <c r="B753" s="65"/>
      <c r="C753" s="65"/>
      <c r="D753" s="65"/>
      <c r="E753" s="66"/>
      <c r="F753" s="65"/>
      <c r="G753" s="67"/>
    </row>
    <row r="754" ht="15.75" customHeight="1">
      <c r="B754" s="65"/>
      <c r="C754" s="65"/>
      <c r="D754" s="65"/>
      <c r="E754" s="66"/>
      <c r="F754" s="65"/>
      <c r="G754" s="67"/>
    </row>
    <row r="755" ht="15.75" customHeight="1">
      <c r="B755" s="65"/>
      <c r="C755" s="65"/>
      <c r="D755" s="65"/>
      <c r="E755" s="66"/>
      <c r="F755" s="65"/>
      <c r="G755" s="67"/>
    </row>
    <row r="756" ht="15.75" customHeight="1">
      <c r="B756" s="65"/>
      <c r="C756" s="65"/>
      <c r="D756" s="65"/>
      <c r="E756" s="66"/>
      <c r="F756" s="65"/>
      <c r="G756" s="67"/>
    </row>
    <row r="757" ht="15.75" customHeight="1">
      <c r="B757" s="65"/>
      <c r="C757" s="65"/>
      <c r="D757" s="65"/>
      <c r="E757" s="66"/>
      <c r="F757" s="65"/>
      <c r="G757" s="67"/>
    </row>
    <row r="758" ht="15.75" customHeight="1">
      <c r="B758" s="65"/>
      <c r="C758" s="65"/>
      <c r="D758" s="65"/>
      <c r="E758" s="66"/>
      <c r="F758" s="65"/>
      <c r="G758" s="67"/>
    </row>
    <row r="759" ht="15.75" customHeight="1">
      <c r="B759" s="65"/>
      <c r="C759" s="65"/>
      <c r="D759" s="65"/>
      <c r="E759" s="66"/>
      <c r="F759" s="65"/>
      <c r="G759" s="67"/>
    </row>
    <row r="760" ht="15.75" customHeight="1">
      <c r="B760" s="65"/>
      <c r="C760" s="65"/>
      <c r="D760" s="65"/>
      <c r="E760" s="66"/>
      <c r="F760" s="65"/>
      <c r="G760" s="67"/>
    </row>
    <row r="761" ht="15.75" customHeight="1">
      <c r="B761" s="65"/>
      <c r="C761" s="65"/>
      <c r="D761" s="65"/>
      <c r="E761" s="66"/>
      <c r="F761" s="65"/>
      <c r="G761" s="67"/>
    </row>
    <row r="762" ht="15.75" customHeight="1">
      <c r="B762" s="65"/>
      <c r="C762" s="65"/>
      <c r="D762" s="65"/>
      <c r="E762" s="66"/>
      <c r="F762" s="65"/>
      <c r="G762" s="67"/>
    </row>
    <row r="763" ht="15.75" customHeight="1">
      <c r="B763" s="65"/>
      <c r="C763" s="65"/>
      <c r="D763" s="65"/>
      <c r="E763" s="66"/>
      <c r="F763" s="65"/>
      <c r="G763" s="67"/>
    </row>
    <row r="764" ht="15.75" customHeight="1">
      <c r="B764" s="65"/>
      <c r="C764" s="65"/>
      <c r="D764" s="65"/>
      <c r="E764" s="66"/>
      <c r="F764" s="65"/>
      <c r="G764" s="67"/>
    </row>
    <row r="765" ht="15.75" customHeight="1">
      <c r="B765" s="65"/>
      <c r="C765" s="65"/>
      <c r="D765" s="65"/>
      <c r="E765" s="66"/>
      <c r="F765" s="65"/>
      <c r="G765" s="67"/>
    </row>
    <row r="766" ht="15.75" customHeight="1">
      <c r="B766" s="65"/>
      <c r="C766" s="65"/>
      <c r="D766" s="65"/>
      <c r="E766" s="66"/>
      <c r="F766" s="65"/>
      <c r="G766" s="67"/>
    </row>
    <row r="767" ht="15.75" customHeight="1">
      <c r="B767" s="65"/>
      <c r="C767" s="65"/>
      <c r="D767" s="65"/>
      <c r="E767" s="66"/>
      <c r="F767" s="65"/>
      <c r="G767" s="67"/>
    </row>
    <row r="768" ht="15.75" customHeight="1">
      <c r="B768" s="65"/>
      <c r="C768" s="65"/>
      <c r="D768" s="65"/>
      <c r="E768" s="66"/>
      <c r="F768" s="65"/>
      <c r="G768" s="67"/>
    </row>
    <row r="769" ht="15.75" customHeight="1">
      <c r="B769" s="65"/>
      <c r="C769" s="65"/>
      <c r="D769" s="65"/>
      <c r="E769" s="66"/>
      <c r="F769" s="65"/>
      <c r="G769" s="67"/>
    </row>
    <row r="770" ht="15.75" customHeight="1">
      <c r="B770" s="65"/>
      <c r="C770" s="65"/>
      <c r="D770" s="65"/>
      <c r="E770" s="66"/>
      <c r="F770" s="65"/>
      <c r="G770" s="67"/>
    </row>
    <row r="771" ht="15.75" customHeight="1">
      <c r="B771" s="65"/>
      <c r="C771" s="65"/>
      <c r="D771" s="65"/>
      <c r="E771" s="66"/>
      <c r="F771" s="65"/>
      <c r="G771" s="67"/>
    </row>
    <row r="772" ht="15.75" customHeight="1">
      <c r="B772" s="65"/>
      <c r="C772" s="65"/>
      <c r="D772" s="65"/>
      <c r="E772" s="66"/>
      <c r="F772" s="65"/>
      <c r="G772" s="67"/>
    </row>
    <row r="773" ht="15.75" customHeight="1">
      <c r="B773" s="65"/>
      <c r="C773" s="65"/>
      <c r="D773" s="65"/>
      <c r="E773" s="66"/>
      <c r="F773" s="65"/>
      <c r="G773" s="67"/>
    </row>
    <row r="774" ht="15.75" customHeight="1">
      <c r="B774" s="65"/>
      <c r="C774" s="65"/>
      <c r="D774" s="65"/>
      <c r="E774" s="66"/>
      <c r="F774" s="65"/>
      <c r="G774" s="67"/>
    </row>
    <row r="775" ht="15.75" customHeight="1">
      <c r="B775" s="65"/>
      <c r="C775" s="65"/>
      <c r="D775" s="65"/>
      <c r="E775" s="66"/>
      <c r="F775" s="65"/>
      <c r="G775" s="67"/>
    </row>
    <row r="776" ht="15.75" customHeight="1">
      <c r="B776" s="65"/>
      <c r="C776" s="65"/>
      <c r="D776" s="65"/>
      <c r="E776" s="66"/>
      <c r="F776" s="65"/>
      <c r="G776" s="67"/>
    </row>
    <row r="777" ht="15.75" customHeight="1">
      <c r="B777" s="65"/>
      <c r="C777" s="65"/>
      <c r="D777" s="65"/>
      <c r="E777" s="66"/>
      <c r="F777" s="65"/>
      <c r="G777" s="67"/>
    </row>
    <row r="778" ht="15.75" customHeight="1">
      <c r="B778" s="65"/>
      <c r="C778" s="65"/>
      <c r="D778" s="65"/>
      <c r="E778" s="66"/>
      <c r="F778" s="65"/>
      <c r="G778" s="67"/>
    </row>
    <row r="779" ht="15.75" customHeight="1">
      <c r="B779" s="65"/>
      <c r="C779" s="65"/>
      <c r="D779" s="65"/>
      <c r="E779" s="66"/>
      <c r="F779" s="65"/>
      <c r="G779" s="67"/>
    </row>
    <row r="780" ht="15.75" customHeight="1">
      <c r="B780" s="65"/>
      <c r="C780" s="65"/>
      <c r="D780" s="65"/>
      <c r="E780" s="66"/>
      <c r="F780" s="65"/>
      <c r="G780" s="67"/>
    </row>
    <row r="781" ht="15.75" customHeight="1">
      <c r="B781" s="65"/>
      <c r="C781" s="65"/>
      <c r="D781" s="65"/>
      <c r="E781" s="66"/>
      <c r="F781" s="65"/>
      <c r="G781" s="67"/>
    </row>
    <row r="782" ht="15.75" customHeight="1">
      <c r="B782" s="65"/>
      <c r="C782" s="65"/>
      <c r="D782" s="65"/>
      <c r="E782" s="66"/>
      <c r="F782" s="65"/>
      <c r="G782" s="67"/>
    </row>
    <row r="783" ht="15.75" customHeight="1">
      <c r="B783" s="65"/>
      <c r="C783" s="65"/>
      <c r="D783" s="65"/>
      <c r="E783" s="66"/>
      <c r="F783" s="65"/>
      <c r="G783" s="67"/>
    </row>
    <row r="784" ht="15.75" customHeight="1">
      <c r="B784" s="65"/>
      <c r="C784" s="65"/>
      <c r="D784" s="65"/>
      <c r="E784" s="66"/>
      <c r="F784" s="65"/>
      <c r="G784" s="67"/>
    </row>
    <row r="785" ht="15.75" customHeight="1">
      <c r="B785" s="65"/>
      <c r="C785" s="65"/>
      <c r="D785" s="65"/>
      <c r="E785" s="66"/>
      <c r="F785" s="65"/>
      <c r="G785" s="67"/>
    </row>
    <row r="786" ht="15.75" customHeight="1">
      <c r="B786" s="65"/>
      <c r="C786" s="65"/>
      <c r="D786" s="65"/>
      <c r="E786" s="66"/>
      <c r="F786" s="65"/>
      <c r="G786" s="67"/>
    </row>
    <row r="787" ht="15.75" customHeight="1">
      <c r="B787" s="65"/>
      <c r="C787" s="65"/>
      <c r="D787" s="65"/>
      <c r="E787" s="66"/>
      <c r="F787" s="65"/>
      <c r="G787" s="67"/>
    </row>
    <row r="788" ht="15.75" customHeight="1">
      <c r="B788" s="65"/>
      <c r="C788" s="65"/>
      <c r="D788" s="65"/>
      <c r="E788" s="66"/>
      <c r="F788" s="65"/>
      <c r="G788" s="67"/>
    </row>
    <row r="789" ht="15.75" customHeight="1">
      <c r="B789" s="65"/>
      <c r="C789" s="65"/>
      <c r="D789" s="65"/>
      <c r="E789" s="66"/>
      <c r="F789" s="65"/>
      <c r="G789" s="67"/>
    </row>
    <row r="790" ht="15.75" customHeight="1">
      <c r="B790" s="65"/>
      <c r="C790" s="65"/>
      <c r="D790" s="65"/>
      <c r="E790" s="66"/>
      <c r="F790" s="65"/>
      <c r="G790" s="67"/>
    </row>
    <row r="791" ht="15.75" customHeight="1">
      <c r="B791" s="65"/>
      <c r="C791" s="65"/>
      <c r="D791" s="65"/>
      <c r="E791" s="66"/>
      <c r="F791" s="65"/>
      <c r="G791" s="67"/>
    </row>
    <row r="792" ht="15.75" customHeight="1">
      <c r="B792" s="65"/>
      <c r="C792" s="65"/>
      <c r="D792" s="65"/>
      <c r="E792" s="66"/>
      <c r="F792" s="65"/>
      <c r="G792" s="67"/>
    </row>
    <row r="793" ht="15.75" customHeight="1">
      <c r="B793" s="65"/>
      <c r="C793" s="65"/>
      <c r="D793" s="65"/>
      <c r="E793" s="66"/>
      <c r="F793" s="65"/>
      <c r="G793" s="67"/>
    </row>
    <row r="794" ht="15.75" customHeight="1">
      <c r="B794" s="65"/>
      <c r="C794" s="65"/>
      <c r="D794" s="65"/>
      <c r="E794" s="66"/>
      <c r="F794" s="65"/>
      <c r="G794" s="67"/>
    </row>
    <row r="795" ht="15.75" customHeight="1">
      <c r="B795" s="65"/>
      <c r="C795" s="65"/>
      <c r="D795" s="65"/>
      <c r="E795" s="66"/>
      <c r="F795" s="65"/>
      <c r="G795" s="67"/>
    </row>
    <row r="796" ht="15.75" customHeight="1">
      <c r="B796" s="65"/>
      <c r="C796" s="65"/>
      <c r="D796" s="65"/>
      <c r="E796" s="66"/>
      <c r="F796" s="65"/>
      <c r="G796" s="67"/>
    </row>
    <row r="797" ht="15.75" customHeight="1">
      <c r="B797" s="65"/>
      <c r="C797" s="65"/>
      <c r="D797" s="65"/>
      <c r="E797" s="66"/>
      <c r="F797" s="65"/>
      <c r="G797" s="67"/>
    </row>
    <row r="798" ht="15.75" customHeight="1">
      <c r="B798" s="65"/>
      <c r="C798" s="65"/>
      <c r="D798" s="65"/>
      <c r="E798" s="66"/>
      <c r="F798" s="65"/>
      <c r="G798" s="67"/>
    </row>
    <row r="799" ht="15.75" customHeight="1">
      <c r="B799" s="65"/>
      <c r="C799" s="65"/>
      <c r="D799" s="65"/>
      <c r="E799" s="66"/>
      <c r="F799" s="65"/>
      <c r="G799" s="67"/>
    </row>
    <row r="800" ht="15.75" customHeight="1">
      <c r="B800" s="65"/>
      <c r="C800" s="65"/>
      <c r="D800" s="65"/>
      <c r="E800" s="66"/>
      <c r="F800" s="65"/>
      <c r="G800" s="67"/>
    </row>
    <row r="801" ht="15.75" customHeight="1">
      <c r="B801" s="65"/>
      <c r="C801" s="65"/>
      <c r="D801" s="65"/>
      <c r="E801" s="66"/>
      <c r="F801" s="65"/>
      <c r="G801" s="67"/>
    </row>
    <row r="802" ht="15.75" customHeight="1">
      <c r="B802" s="65"/>
      <c r="C802" s="65"/>
      <c r="D802" s="65"/>
      <c r="E802" s="66"/>
      <c r="F802" s="65"/>
      <c r="G802" s="67"/>
    </row>
    <row r="803" ht="15.75" customHeight="1">
      <c r="B803" s="65"/>
      <c r="C803" s="65"/>
      <c r="D803" s="65"/>
      <c r="E803" s="66"/>
      <c r="F803" s="65"/>
      <c r="G803" s="67"/>
    </row>
    <row r="804" ht="15.75" customHeight="1">
      <c r="B804" s="65"/>
      <c r="C804" s="65"/>
      <c r="D804" s="65"/>
      <c r="E804" s="66"/>
      <c r="F804" s="65"/>
      <c r="G804" s="67"/>
    </row>
    <row r="805" ht="15.75" customHeight="1">
      <c r="B805" s="65"/>
      <c r="C805" s="65"/>
      <c r="D805" s="65"/>
      <c r="E805" s="66"/>
      <c r="F805" s="65"/>
      <c r="G805" s="67"/>
    </row>
    <row r="806" ht="15.75" customHeight="1">
      <c r="B806" s="65"/>
      <c r="C806" s="65"/>
      <c r="D806" s="65"/>
      <c r="E806" s="66"/>
      <c r="F806" s="65"/>
      <c r="G806" s="67"/>
    </row>
    <row r="807" ht="15.75" customHeight="1">
      <c r="B807" s="65"/>
      <c r="C807" s="65"/>
      <c r="D807" s="65"/>
      <c r="E807" s="66"/>
      <c r="F807" s="65"/>
      <c r="G807" s="67"/>
    </row>
    <row r="808" ht="15.75" customHeight="1">
      <c r="B808" s="65"/>
      <c r="C808" s="65"/>
      <c r="D808" s="65"/>
      <c r="E808" s="66"/>
      <c r="F808" s="65"/>
      <c r="G808" s="67"/>
    </row>
    <row r="809" ht="15.75" customHeight="1">
      <c r="B809" s="65"/>
      <c r="C809" s="65"/>
      <c r="D809" s="65"/>
      <c r="E809" s="66"/>
      <c r="F809" s="65"/>
      <c r="G809" s="67"/>
    </row>
    <row r="810" ht="15.75" customHeight="1">
      <c r="B810" s="65"/>
      <c r="C810" s="65"/>
      <c r="D810" s="65"/>
      <c r="E810" s="66"/>
      <c r="F810" s="65"/>
      <c r="G810" s="67"/>
    </row>
    <row r="811" ht="15.75" customHeight="1">
      <c r="B811" s="65"/>
      <c r="C811" s="65"/>
      <c r="D811" s="65"/>
      <c r="E811" s="66"/>
      <c r="F811" s="65"/>
      <c r="G811" s="67"/>
    </row>
    <row r="812" ht="15.75" customHeight="1">
      <c r="B812" s="65"/>
      <c r="C812" s="65"/>
      <c r="D812" s="65"/>
      <c r="E812" s="66"/>
      <c r="F812" s="65"/>
      <c r="G812" s="67"/>
    </row>
    <row r="813" ht="15.75" customHeight="1">
      <c r="B813" s="65"/>
      <c r="C813" s="65"/>
      <c r="D813" s="65"/>
      <c r="E813" s="66"/>
      <c r="F813" s="65"/>
      <c r="G813" s="67"/>
    </row>
    <row r="814" ht="15.75" customHeight="1">
      <c r="B814" s="65"/>
      <c r="C814" s="65"/>
      <c r="D814" s="65"/>
      <c r="E814" s="66"/>
      <c r="F814" s="65"/>
      <c r="G814" s="67"/>
    </row>
    <row r="815" ht="15.75" customHeight="1">
      <c r="B815" s="65"/>
      <c r="C815" s="65"/>
      <c r="D815" s="65"/>
      <c r="E815" s="66"/>
      <c r="F815" s="65"/>
      <c r="G815" s="67"/>
    </row>
    <row r="816" ht="15.75" customHeight="1">
      <c r="B816" s="65"/>
      <c r="C816" s="65"/>
      <c r="D816" s="65"/>
      <c r="E816" s="66"/>
      <c r="F816" s="65"/>
      <c r="G816" s="67"/>
    </row>
    <row r="817" ht="15.75" customHeight="1">
      <c r="B817" s="65"/>
      <c r="C817" s="65"/>
      <c r="D817" s="65"/>
      <c r="E817" s="66"/>
      <c r="F817" s="65"/>
      <c r="G817" s="67"/>
    </row>
    <row r="818" ht="15.75" customHeight="1">
      <c r="B818" s="65"/>
      <c r="C818" s="65"/>
      <c r="D818" s="65"/>
      <c r="E818" s="66"/>
      <c r="F818" s="65"/>
      <c r="G818" s="67"/>
    </row>
    <row r="819" ht="15.75" customHeight="1">
      <c r="B819" s="65"/>
      <c r="C819" s="65"/>
      <c r="D819" s="65"/>
      <c r="E819" s="66"/>
      <c r="F819" s="65"/>
      <c r="G819" s="67"/>
    </row>
    <row r="820" ht="15.75" customHeight="1">
      <c r="B820" s="65"/>
      <c r="C820" s="65"/>
      <c r="D820" s="65"/>
      <c r="E820" s="66"/>
      <c r="F820" s="65"/>
      <c r="G820" s="67"/>
    </row>
    <row r="821" ht="15.75" customHeight="1">
      <c r="B821" s="65"/>
      <c r="C821" s="65"/>
      <c r="D821" s="65"/>
      <c r="E821" s="66"/>
      <c r="F821" s="65"/>
      <c r="G821" s="67"/>
    </row>
    <row r="822" ht="15.75" customHeight="1">
      <c r="B822" s="65"/>
      <c r="C822" s="65"/>
      <c r="D822" s="65"/>
      <c r="E822" s="66"/>
      <c r="F822" s="65"/>
      <c r="G822" s="67"/>
    </row>
    <row r="823" ht="15.75" customHeight="1">
      <c r="B823" s="65"/>
      <c r="C823" s="65"/>
      <c r="D823" s="65"/>
      <c r="E823" s="66"/>
      <c r="F823" s="65"/>
      <c r="G823" s="67"/>
    </row>
    <row r="824" ht="15.75" customHeight="1">
      <c r="B824" s="65"/>
      <c r="C824" s="65"/>
      <c r="D824" s="65"/>
      <c r="E824" s="66"/>
      <c r="F824" s="65"/>
      <c r="G824" s="67"/>
    </row>
    <row r="825" ht="15.75" customHeight="1">
      <c r="B825" s="65"/>
      <c r="C825" s="65"/>
      <c r="D825" s="65"/>
      <c r="E825" s="66"/>
      <c r="F825" s="65"/>
      <c r="G825" s="67"/>
    </row>
    <row r="826" ht="15.75" customHeight="1">
      <c r="B826" s="65"/>
      <c r="C826" s="65"/>
      <c r="D826" s="65"/>
      <c r="E826" s="66"/>
      <c r="F826" s="65"/>
      <c r="G826" s="67"/>
    </row>
    <row r="827" ht="15.75" customHeight="1">
      <c r="B827" s="65"/>
      <c r="C827" s="65"/>
      <c r="D827" s="65"/>
      <c r="E827" s="66"/>
      <c r="F827" s="65"/>
      <c r="G827" s="67"/>
    </row>
    <row r="828" ht="15.75" customHeight="1">
      <c r="B828" s="65"/>
      <c r="C828" s="65"/>
      <c r="D828" s="65"/>
      <c r="E828" s="66"/>
      <c r="F828" s="65"/>
      <c r="G828" s="67"/>
    </row>
    <row r="829" ht="15.75" customHeight="1">
      <c r="B829" s="65"/>
      <c r="C829" s="65"/>
      <c r="D829" s="65"/>
      <c r="E829" s="66"/>
      <c r="F829" s="65"/>
      <c r="G829" s="67"/>
    </row>
    <row r="830" ht="15.75" customHeight="1">
      <c r="B830" s="65"/>
      <c r="C830" s="65"/>
      <c r="D830" s="65"/>
      <c r="E830" s="66"/>
      <c r="F830" s="65"/>
      <c r="G830" s="67"/>
    </row>
    <row r="831" ht="15.75" customHeight="1">
      <c r="B831" s="65"/>
      <c r="C831" s="65"/>
      <c r="D831" s="65"/>
      <c r="E831" s="66"/>
      <c r="F831" s="65"/>
      <c r="G831" s="67"/>
    </row>
    <row r="832" ht="15.75" customHeight="1">
      <c r="B832" s="65"/>
      <c r="C832" s="65"/>
      <c r="D832" s="65"/>
      <c r="E832" s="66"/>
      <c r="F832" s="65"/>
      <c r="G832" s="67"/>
    </row>
    <row r="833" ht="15.75" customHeight="1">
      <c r="B833" s="65"/>
      <c r="C833" s="65"/>
      <c r="D833" s="65"/>
      <c r="E833" s="66"/>
      <c r="F833" s="65"/>
      <c r="G833" s="67"/>
    </row>
    <row r="834" ht="15.75" customHeight="1">
      <c r="B834" s="65"/>
      <c r="C834" s="65"/>
      <c r="D834" s="65"/>
      <c r="E834" s="66"/>
      <c r="F834" s="65"/>
      <c r="G834" s="67"/>
    </row>
    <row r="835" ht="15.75" customHeight="1">
      <c r="B835" s="65"/>
      <c r="C835" s="65"/>
      <c r="D835" s="65"/>
      <c r="E835" s="66"/>
      <c r="F835" s="65"/>
      <c r="G835" s="67"/>
    </row>
    <row r="836" ht="15.75" customHeight="1">
      <c r="B836" s="65"/>
      <c r="C836" s="65"/>
      <c r="D836" s="65"/>
      <c r="E836" s="66"/>
      <c r="F836" s="65"/>
      <c r="G836" s="67"/>
    </row>
    <row r="837" ht="15.75" customHeight="1">
      <c r="B837" s="65"/>
      <c r="C837" s="65"/>
      <c r="D837" s="65"/>
      <c r="E837" s="66"/>
      <c r="F837" s="65"/>
      <c r="G837" s="67"/>
    </row>
    <row r="838" ht="15.75" customHeight="1">
      <c r="B838" s="65"/>
      <c r="C838" s="65"/>
      <c r="D838" s="65"/>
      <c r="E838" s="66"/>
      <c r="F838" s="65"/>
      <c r="G838" s="67"/>
    </row>
    <row r="839" ht="15.75" customHeight="1">
      <c r="B839" s="65"/>
      <c r="C839" s="65"/>
      <c r="D839" s="65"/>
      <c r="E839" s="66"/>
      <c r="F839" s="65"/>
      <c r="G839" s="67"/>
    </row>
    <row r="840" ht="15.75" customHeight="1">
      <c r="B840" s="65"/>
      <c r="C840" s="65"/>
      <c r="D840" s="65"/>
      <c r="E840" s="66"/>
      <c r="F840" s="65"/>
      <c r="G840" s="67"/>
    </row>
    <row r="841" ht="15.75" customHeight="1">
      <c r="B841" s="65"/>
      <c r="C841" s="65"/>
      <c r="D841" s="65"/>
      <c r="E841" s="66"/>
      <c r="F841" s="65"/>
      <c r="G841" s="67"/>
    </row>
    <row r="842" ht="15.75" customHeight="1">
      <c r="B842" s="65"/>
      <c r="C842" s="65"/>
      <c r="D842" s="65"/>
      <c r="E842" s="66"/>
      <c r="F842" s="65"/>
      <c r="G842" s="67"/>
    </row>
    <row r="843" ht="15.75" customHeight="1">
      <c r="B843" s="65"/>
      <c r="C843" s="65"/>
      <c r="D843" s="65"/>
      <c r="E843" s="66"/>
      <c r="F843" s="65"/>
      <c r="G843" s="67"/>
    </row>
    <row r="844" ht="15.75" customHeight="1">
      <c r="B844" s="65"/>
      <c r="C844" s="65"/>
      <c r="D844" s="65"/>
      <c r="E844" s="66"/>
      <c r="F844" s="65"/>
      <c r="G844" s="67"/>
    </row>
    <row r="845" ht="15.75" customHeight="1">
      <c r="B845" s="65"/>
      <c r="C845" s="65"/>
      <c r="D845" s="65"/>
      <c r="E845" s="66"/>
      <c r="F845" s="65"/>
      <c r="G845" s="67"/>
    </row>
    <row r="846" ht="15.75" customHeight="1">
      <c r="B846" s="65"/>
      <c r="C846" s="65"/>
      <c r="D846" s="65"/>
      <c r="E846" s="66"/>
      <c r="F846" s="65"/>
      <c r="G846" s="67"/>
    </row>
    <row r="847" ht="15.75" customHeight="1">
      <c r="B847" s="65"/>
      <c r="C847" s="65"/>
      <c r="D847" s="65"/>
      <c r="E847" s="66"/>
      <c r="F847" s="65"/>
      <c r="G847" s="67"/>
    </row>
    <row r="848" ht="15.75" customHeight="1">
      <c r="B848" s="65"/>
      <c r="C848" s="65"/>
      <c r="D848" s="65"/>
      <c r="E848" s="66"/>
      <c r="F848" s="65"/>
      <c r="G848" s="67"/>
    </row>
    <row r="849" ht="15.75" customHeight="1">
      <c r="B849" s="65"/>
      <c r="C849" s="65"/>
      <c r="D849" s="65"/>
      <c r="E849" s="66"/>
      <c r="F849" s="65"/>
      <c r="G849" s="67"/>
    </row>
    <row r="850" ht="15.75" customHeight="1">
      <c r="B850" s="65"/>
      <c r="C850" s="65"/>
      <c r="D850" s="65"/>
      <c r="E850" s="66"/>
      <c r="F850" s="65"/>
      <c r="G850" s="67"/>
    </row>
    <row r="851" ht="15.75" customHeight="1">
      <c r="B851" s="65"/>
      <c r="C851" s="65"/>
      <c r="D851" s="65"/>
      <c r="E851" s="66"/>
      <c r="F851" s="65"/>
      <c r="G851" s="67"/>
    </row>
    <row r="852" ht="15.75" customHeight="1">
      <c r="B852" s="65"/>
      <c r="C852" s="65"/>
      <c r="D852" s="65"/>
      <c r="E852" s="66"/>
      <c r="F852" s="65"/>
      <c r="G852" s="67"/>
    </row>
    <row r="853" ht="15.75" customHeight="1">
      <c r="B853" s="65"/>
      <c r="C853" s="65"/>
      <c r="D853" s="65"/>
      <c r="E853" s="66"/>
      <c r="F853" s="65"/>
      <c r="G853" s="67"/>
    </row>
    <row r="854" ht="15.75" customHeight="1">
      <c r="B854" s="65"/>
      <c r="C854" s="65"/>
      <c r="D854" s="65"/>
      <c r="E854" s="66"/>
      <c r="F854" s="65"/>
      <c r="G854" s="67"/>
    </row>
    <row r="855" ht="15.75" customHeight="1">
      <c r="B855" s="65"/>
      <c r="C855" s="65"/>
      <c r="D855" s="65"/>
      <c r="E855" s="66"/>
      <c r="F855" s="65"/>
      <c r="G855" s="67"/>
    </row>
    <row r="856" ht="15.75" customHeight="1">
      <c r="B856" s="65"/>
      <c r="C856" s="65"/>
      <c r="D856" s="65"/>
      <c r="E856" s="66"/>
      <c r="F856" s="65"/>
      <c r="G856" s="67"/>
    </row>
    <row r="857" ht="15.75" customHeight="1">
      <c r="B857" s="65"/>
      <c r="C857" s="65"/>
      <c r="D857" s="65"/>
      <c r="E857" s="66"/>
      <c r="F857" s="65"/>
      <c r="G857" s="67"/>
    </row>
    <row r="858" ht="15.75" customHeight="1">
      <c r="B858" s="65"/>
      <c r="C858" s="65"/>
      <c r="D858" s="65"/>
      <c r="E858" s="66"/>
      <c r="F858" s="65"/>
      <c r="G858" s="67"/>
    </row>
    <row r="859" ht="15.75" customHeight="1">
      <c r="B859" s="65"/>
      <c r="C859" s="65"/>
      <c r="D859" s="65"/>
      <c r="E859" s="66"/>
      <c r="F859" s="65"/>
      <c r="G859" s="67"/>
    </row>
    <row r="860" ht="15.75" customHeight="1">
      <c r="B860" s="65"/>
      <c r="C860" s="65"/>
      <c r="D860" s="65"/>
      <c r="E860" s="66"/>
      <c r="F860" s="65"/>
      <c r="G860" s="67"/>
    </row>
    <row r="861" ht="15.75" customHeight="1">
      <c r="B861" s="65"/>
      <c r="C861" s="65"/>
      <c r="D861" s="65"/>
      <c r="E861" s="66"/>
      <c r="F861" s="65"/>
      <c r="G861" s="67"/>
    </row>
    <row r="862" ht="15.75" customHeight="1">
      <c r="B862" s="65"/>
      <c r="C862" s="65"/>
      <c r="D862" s="65"/>
      <c r="E862" s="66"/>
      <c r="F862" s="65"/>
      <c r="G862" s="67"/>
    </row>
    <row r="863" ht="15.75" customHeight="1">
      <c r="B863" s="65"/>
      <c r="C863" s="65"/>
      <c r="D863" s="65"/>
      <c r="E863" s="66"/>
      <c r="F863" s="65"/>
      <c r="G863" s="67"/>
    </row>
    <row r="864" ht="15.75" customHeight="1">
      <c r="B864" s="65"/>
      <c r="C864" s="65"/>
      <c r="D864" s="65"/>
      <c r="E864" s="66"/>
      <c r="F864" s="65"/>
      <c r="G864" s="67"/>
    </row>
    <row r="865" ht="15.75" customHeight="1">
      <c r="B865" s="65"/>
      <c r="C865" s="65"/>
      <c r="D865" s="65"/>
      <c r="E865" s="66"/>
      <c r="F865" s="65"/>
      <c r="G865" s="67"/>
    </row>
    <row r="866" ht="15.75" customHeight="1">
      <c r="B866" s="65"/>
      <c r="C866" s="65"/>
      <c r="D866" s="65"/>
      <c r="E866" s="66"/>
      <c r="F866" s="65"/>
      <c r="G866" s="67"/>
    </row>
    <row r="867" ht="15.75" customHeight="1">
      <c r="B867" s="65"/>
      <c r="C867" s="65"/>
      <c r="D867" s="65"/>
      <c r="E867" s="66"/>
      <c r="F867" s="65"/>
      <c r="G867" s="67"/>
    </row>
    <row r="868" ht="15.75" customHeight="1">
      <c r="B868" s="65"/>
      <c r="C868" s="65"/>
      <c r="D868" s="65"/>
      <c r="E868" s="66"/>
      <c r="F868" s="65"/>
      <c r="G868" s="67"/>
    </row>
    <row r="869" ht="15.75" customHeight="1">
      <c r="B869" s="65"/>
      <c r="C869" s="65"/>
      <c r="D869" s="65"/>
      <c r="E869" s="66"/>
      <c r="F869" s="65"/>
      <c r="G869" s="67"/>
    </row>
    <row r="870" ht="15.75" customHeight="1">
      <c r="B870" s="65"/>
      <c r="C870" s="65"/>
      <c r="D870" s="65"/>
      <c r="E870" s="66"/>
      <c r="F870" s="65"/>
      <c r="G870" s="67"/>
    </row>
    <row r="871" ht="15.75" customHeight="1">
      <c r="B871" s="65"/>
      <c r="C871" s="65"/>
      <c r="D871" s="65"/>
      <c r="E871" s="66"/>
      <c r="F871" s="65"/>
      <c r="G871" s="67"/>
    </row>
    <row r="872" ht="15.75" customHeight="1">
      <c r="B872" s="65"/>
      <c r="C872" s="65"/>
      <c r="D872" s="65"/>
      <c r="E872" s="66"/>
      <c r="F872" s="65"/>
      <c r="G872" s="67"/>
    </row>
    <row r="873" ht="15.75" customHeight="1">
      <c r="B873" s="65"/>
      <c r="C873" s="65"/>
      <c r="D873" s="65"/>
      <c r="E873" s="66"/>
      <c r="F873" s="65"/>
      <c r="G873" s="67"/>
    </row>
    <row r="874" ht="15.75" customHeight="1">
      <c r="B874" s="65"/>
      <c r="C874" s="65"/>
      <c r="D874" s="65"/>
      <c r="E874" s="66"/>
      <c r="F874" s="65"/>
      <c r="G874" s="67"/>
    </row>
    <row r="875" ht="15.75" customHeight="1">
      <c r="B875" s="65"/>
      <c r="C875" s="65"/>
      <c r="D875" s="65"/>
      <c r="E875" s="66"/>
      <c r="F875" s="65"/>
      <c r="G875" s="67"/>
    </row>
    <row r="876" ht="15.75" customHeight="1">
      <c r="B876" s="65"/>
      <c r="C876" s="65"/>
      <c r="D876" s="65"/>
      <c r="E876" s="66"/>
      <c r="F876" s="65"/>
      <c r="G876" s="67"/>
    </row>
    <row r="877" ht="15.75" customHeight="1">
      <c r="B877" s="65"/>
      <c r="C877" s="65"/>
      <c r="D877" s="65"/>
      <c r="E877" s="66"/>
      <c r="F877" s="65"/>
      <c r="G877" s="67"/>
    </row>
    <row r="878" ht="15.75" customHeight="1">
      <c r="B878" s="65"/>
      <c r="C878" s="65"/>
      <c r="D878" s="65"/>
      <c r="E878" s="66"/>
      <c r="F878" s="65"/>
      <c r="G878" s="67"/>
    </row>
    <row r="879" ht="15.75" customHeight="1">
      <c r="B879" s="65"/>
      <c r="C879" s="65"/>
      <c r="D879" s="65"/>
      <c r="E879" s="66"/>
      <c r="F879" s="65"/>
      <c r="G879" s="67"/>
    </row>
    <row r="880" ht="15.75" customHeight="1">
      <c r="B880" s="65"/>
      <c r="C880" s="65"/>
      <c r="D880" s="65"/>
      <c r="E880" s="66"/>
      <c r="F880" s="65"/>
      <c r="G880" s="67"/>
    </row>
    <row r="881" ht="15.75" customHeight="1">
      <c r="B881" s="65"/>
      <c r="C881" s="65"/>
      <c r="D881" s="65"/>
      <c r="E881" s="66"/>
      <c r="F881" s="65"/>
      <c r="G881" s="67"/>
    </row>
    <row r="882" ht="15.75" customHeight="1">
      <c r="B882" s="65"/>
      <c r="C882" s="65"/>
      <c r="D882" s="65"/>
      <c r="E882" s="66"/>
      <c r="F882" s="65"/>
      <c r="G882" s="67"/>
    </row>
    <row r="883" ht="15.75" customHeight="1">
      <c r="B883" s="65"/>
      <c r="C883" s="65"/>
      <c r="D883" s="65"/>
      <c r="E883" s="66"/>
      <c r="F883" s="65"/>
      <c r="G883" s="67"/>
    </row>
    <row r="884" ht="15.75" customHeight="1">
      <c r="B884" s="65"/>
      <c r="C884" s="65"/>
      <c r="D884" s="65"/>
      <c r="E884" s="66"/>
      <c r="F884" s="65"/>
      <c r="G884" s="67"/>
    </row>
    <row r="885" ht="15.75" customHeight="1">
      <c r="B885" s="65"/>
      <c r="C885" s="65"/>
      <c r="D885" s="65"/>
      <c r="E885" s="66"/>
      <c r="F885" s="65"/>
      <c r="G885" s="67"/>
    </row>
    <row r="886" ht="15.75" customHeight="1">
      <c r="B886" s="65"/>
      <c r="C886" s="65"/>
      <c r="D886" s="65"/>
      <c r="E886" s="66"/>
      <c r="F886" s="65"/>
      <c r="G886" s="67"/>
    </row>
    <row r="887" ht="15.75" customHeight="1">
      <c r="B887" s="65"/>
      <c r="C887" s="65"/>
      <c r="D887" s="65"/>
      <c r="E887" s="66"/>
      <c r="F887" s="65"/>
      <c r="G887" s="67"/>
    </row>
    <row r="888" ht="15.75" customHeight="1">
      <c r="B888" s="65"/>
      <c r="C888" s="65"/>
      <c r="D888" s="65"/>
      <c r="E888" s="66"/>
      <c r="F888" s="65"/>
      <c r="G888" s="67"/>
    </row>
    <row r="889" ht="15.75" customHeight="1">
      <c r="B889" s="65"/>
      <c r="C889" s="65"/>
      <c r="D889" s="65"/>
      <c r="E889" s="66"/>
      <c r="F889" s="65"/>
      <c r="G889" s="67"/>
    </row>
    <row r="890" ht="15.75" customHeight="1">
      <c r="B890" s="65"/>
      <c r="C890" s="65"/>
      <c r="D890" s="65"/>
      <c r="E890" s="66"/>
      <c r="F890" s="65"/>
      <c r="G890" s="67"/>
    </row>
    <row r="891" ht="15.75" customHeight="1">
      <c r="B891" s="65"/>
      <c r="C891" s="65"/>
      <c r="D891" s="65"/>
      <c r="E891" s="66"/>
      <c r="F891" s="65"/>
      <c r="G891" s="67"/>
    </row>
    <row r="892" ht="15.75" customHeight="1">
      <c r="B892" s="65"/>
      <c r="C892" s="65"/>
      <c r="D892" s="65"/>
      <c r="E892" s="66"/>
      <c r="F892" s="65"/>
      <c r="G892" s="67"/>
    </row>
    <row r="893" ht="15.75" customHeight="1">
      <c r="B893" s="65"/>
      <c r="C893" s="65"/>
      <c r="D893" s="65"/>
      <c r="E893" s="66"/>
      <c r="F893" s="65"/>
      <c r="G893" s="67"/>
    </row>
    <row r="894" ht="15.75" customHeight="1">
      <c r="B894" s="65"/>
      <c r="C894" s="65"/>
      <c r="D894" s="65"/>
      <c r="E894" s="66"/>
      <c r="F894" s="65"/>
      <c r="G894" s="67"/>
    </row>
    <row r="895" ht="15.75" customHeight="1">
      <c r="B895" s="65"/>
      <c r="C895" s="65"/>
      <c r="D895" s="65"/>
      <c r="E895" s="66"/>
      <c r="F895" s="65"/>
      <c r="G895" s="67"/>
    </row>
    <row r="896" ht="15.75" customHeight="1">
      <c r="B896" s="65"/>
      <c r="C896" s="65"/>
      <c r="D896" s="65"/>
      <c r="E896" s="66"/>
      <c r="F896" s="65"/>
      <c r="G896" s="67"/>
    </row>
    <row r="897" ht="15.75" customHeight="1">
      <c r="B897" s="65"/>
      <c r="C897" s="65"/>
      <c r="D897" s="65"/>
      <c r="E897" s="66"/>
      <c r="F897" s="65"/>
      <c r="G897" s="67"/>
    </row>
    <row r="898" ht="15.75" customHeight="1">
      <c r="B898" s="65"/>
      <c r="C898" s="65"/>
      <c r="D898" s="65"/>
      <c r="E898" s="66"/>
      <c r="F898" s="65"/>
      <c r="G898" s="67"/>
    </row>
    <row r="899" ht="15.75" customHeight="1">
      <c r="B899" s="65"/>
      <c r="C899" s="65"/>
      <c r="D899" s="65"/>
      <c r="E899" s="66"/>
      <c r="F899" s="65"/>
      <c r="G899" s="67"/>
    </row>
    <row r="900" ht="15.75" customHeight="1">
      <c r="B900" s="65"/>
      <c r="C900" s="65"/>
      <c r="D900" s="65"/>
      <c r="E900" s="66"/>
      <c r="F900" s="65"/>
      <c r="G900" s="67"/>
    </row>
    <row r="901" ht="15.75" customHeight="1">
      <c r="B901" s="65"/>
      <c r="C901" s="65"/>
      <c r="D901" s="65"/>
      <c r="E901" s="66"/>
      <c r="F901" s="65"/>
      <c r="G901" s="67"/>
    </row>
    <row r="902" ht="15.75" customHeight="1">
      <c r="B902" s="65"/>
      <c r="C902" s="65"/>
      <c r="D902" s="65"/>
      <c r="E902" s="66"/>
      <c r="F902" s="65"/>
      <c r="G902" s="67"/>
    </row>
    <row r="903" ht="15.75" customHeight="1">
      <c r="B903" s="65"/>
      <c r="C903" s="65"/>
      <c r="D903" s="65"/>
      <c r="E903" s="66"/>
      <c r="F903" s="65"/>
      <c r="G903" s="67"/>
    </row>
    <row r="904" ht="15.75" customHeight="1">
      <c r="B904" s="65"/>
      <c r="C904" s="65"/>
      <c r="D904" s="65"/>
      <c r="E904" s="66"/>
      <c r="F904" s="65"/>
      <c r="G904" s="67"/>
    </row>
    <row r="905" ht="15.75" customHeight="1">
      <c r="B905" s="65"/>
      <c r="C905" s="65"/>
      <c r="D905" s="65"/>
      <c r="E905" s="66"/>
      <c r="F905" s="65"/>
      <c r="G905" s="67"/>
    </row>
    <row r="906" ht="15.75" customHeight="1">
      <c r="B906" s="65"/>
      <c r="C906" s="65"/>
      <c r="D906" s="65"/>
      <c r="E906" s="66"/>
      <c r="F906" s="65"/>
      <c r="G906" s="67"/>
    </row>
    <row r="907" ht="15.75" customHeight="1">
      <c r="B907" s="65"/>
      <c r="C907" s="65"/>
      <c r="D907" s="65"/>
      <c r="E907" s="66"/>
      <c r="F907" s="65"/>
      <c r="G907" s="67"/>
    </row>
    <row r="908" ht="15.75" customHeight="1">
      <c r="B908" s="65"/>
      <c r="C908" s="65"/>
      <c r="D908" s="65"/>
      <c r="E908" s="66"/>
      <c r="F908" s="65"/>
      <c r="G908" s="67"/>
    </row>
    <row r="909" ht="15.75" customHeight="1">
      <c r="B909" s="65"/>
      <c r="C909" s="65"/>
      <c r="D909" s="65"/>
      <c r="E909" s="66"/>
      <c r="F909" s="65"/>
      <c r="G909" s="67"/>
    </row>
    <row r="910" ht="15.75" customHeight="1">
      <c r="B910" s="65"/>
      <c r="C910" s="65"/>
      <c r="D910" s="65"/>
      <c r="E910" s="66"/>
      <c r="F910" s="65"/>
      <c r="G910" s="67"/>
    </row>
    <row r="911" ht="15.75" customHeight="1">
      <c r="B911" s="65"/>
      <c r="C911" s="65"/>
      <c r="D911" s="65"/>
      <c r="E911" s="66"/>
      <c r="F911" s="65"/>
      <c r="G911" s="67"/>
    </row>
    <row r="912" ht="15.75" customHeight="1">
      <c r="B912" s="65"/>
      <c r="C912" s="65"/>
      <c r="D912" s="65"/>
      <c r="E912" s="66"/>
      <c r="F912" s="65"/>
      <c r="G912" s="67"/>
    </row>
    <row r="913" ht="15.75" customHeight="1">
      <c r="B913" s="65"/>
      <c r="C913" s="65"/>
      <c r="D913" s="65"/>
      <c r="E913" s="66"/>
      <c r="F913" s="65"/>
      <c r="G913" s="67"/>
    </row>
    <row r="914" ht="15.75" customHeight="1">
      <c r="B914" s="65"/>
      <c r="C914" s="65"/>
      <c r="D914" s="65"/>
      <c r="E914" s="66"/>
      <c r="F914" s="65"/>
      <c r="G914" s="67"/>
    </row>
    <row r="915" ht="15.75" customHeight="1">
      <c r="B915" s="65"/>
      <c r="C915" s="65"/>
      <c r="D915" s="65"/>
      <c r="E915" s="66"/>
      <c r="F915" s="65"/>
      <c r="G915" s="67"/>
    </row>
    <row r="916" ht="15.75" customHeight="1">
      <c r="B916" s="65"/>
      <c r="C916" s="65"/>
      <c r="D916" s="65"/>
      <c r="E916" s="66"/>
      <c r="F916" s="65"/>
      <c r="G916" s="67"/>
    </row>
    <row r="917" ht="15.75" customHeight="1">
      <c r="B917" s="65"/>
      <c r="C917" s="65"/>
      <c r="D917" s="65"/>
      <c r="E917" s="66"/>
      <c r="F917" s="65"/>
      <c r="G917" s="67"/>
    </row>
    <row r="918" ht="15.75" customHeight="1">
      <c r="B918" s="65"/>
      <c r="C918" s="65"/>
      <c r="D918" s="65"/>
      <c r="E918" s="66"/>
      <c r="F918" s="65"/>
      <c r="G918" s="67"/>
    </row>
    <row r="919" ht="15.75" customHeight="1">
      <c r="B919" s="65"/>
      <c r="C919" s="65"/>
      <c r="D919" s="65"/>
      <c r="E919" s="66"/>
      <c r="F919" s="65"/>
      <c r="G919" s="67"/>
    </row>
    <row r="920" ht="15.75" customHeight="1">
      <c r="B920" s="65"/>
      <c r="C920" s="65"/>
      <c r="D920" s="65"/>
      <c r="E920" s="66"/>
      <c r="F920" s="65"/>
      <c r="G920" s="67"/>
    </row>
    <row r="921" ht="15.75" customHeight="1">
      <c r="B921" s="65"/>
      <c r="C921" s="65"/>
      <c r="D921" s="65"/>
      <c r="E921" s="66"/>
      <c r="F921" s="65"/>
      <c r="G921" s="67"/>
    </row>
    <row r="922" ht="15.75" customHeight="1">
      <c r="B922" s="65"/>
      <c r="C922" s="65"/>
      <c r="D922" s="65"/>
      <c r="E922" s="66"/>
      <c r="F922" s="65"/>
      <c r="G922" s="67"/>
    </row>
    <row r="923" ht="15.75" customHeight="1">
      <c r="B923" s="65"/>
      <c r="C923" s="65"/>
      <c r="D923" s="65"/>
      <c r="E923" s="66"/>
      <c r="F923" s="65"/>
      <c r="G923" s="67"/>
    </row>
    <row r="924" ht="15.75" customHeight="1">
      <c r="B924" s="65"/>
      <c r="C924" s="65"/>
      <c r="D924" s="65"/>
      <c r="E924" s="66"/>
      <c r="F924" s="65"/>
      <c r="G924" s="67"/>
    </row>
    <row r="925" ht="15.75" customHeight="1">
      <c r="B925" s="65"/>
      <c r="C925" s="65"/>
      <c r="D925" s="65"/>
      <c r="E925" s="66"/>
      <c r="F925" s="65"/>
      <c r="G925" s="67"/>
    </row>
    <row r="926" ht="15.75" customHeight="1">
      <c r="B926" s="65"/>
      <c r="C926" s="65"/>
      <c r="D926" s="65"/>
      <c r="E926" s="66"/>
      <c r="F926" s="65"/>
      <c r="G926" s="67"/>
    </row>
    <row r="927" ht="15.75" customHeight="1">
      <c r="B927" s="65"/>
      <c r="C927" s="65"/>
      <c r="D927" s="65"/>
      <c r="E927" s="66"/>
      <c r="F927" s="65"/>
      <c r="G927" s="67"/>
    </row>
    <row r="928" ht="15.75" customHeight="1">
      <c r="B928" s="65"/>
      <c r="C928" s="65"/>
      <c r="D928" s="65"/>
      <c r="E928" s="66"/>
      <c r="F928" s="65"/>
      <c r="G928" s="67"/>
    </row>
    <row r="929" ht="15.75" customHeight="1">
      <c r="B929" s="65"/>
      <c r="C929" s="65"/>
      <c r="D929" s="65"/>
      <c r="E929" s="66"/>
      <c r="F929" s="65"/>
      <c r="G929" s="67"/>
    </row>
    <row r="930" ht="15.75" customHeight="1">
      <c r="B930" s="65"/>
      <c r="C930" s="65"/>
      <c r="D930" s="65"/>
      <c r="E930" s="66"/>
      <c r="F930" s="65"/>
      <c r="G930" s="67"/>
    </row>
    <row r="931" ht="15.75" customHeight="1">
      <c r="B931" s="65"/>
      <c r="C931" s="65"/>
      <c r="D931" s="65"/>
      <c r="E931" s="66"/>
      <c r="F931" s="65"/>
      <c r="G931" s="67"/>
    </row>
    <row r="932" ht="15.75" customHeight="1">
      <c r="B932" s="65"/>
      <c r="C932" s="65"/>
      <c r="D932" s="65"/>
      <c r="E932" s="66"/>
      <c r="F932" s="65"/>
      <c r="G932" s="67"/>
    </row>
    <row r="933" ht="15.75" customHeight="1">
      <c r="B933" s="65"/>
      <c r="C933" s="65"/>
      <c r="D933" s="65"/>
      <c r="E933" s="66"/>
      <c r="F933" s="65"/>
      <c r="G933" s="67"/>
    </row>
    <row r="934" ht="15.75" customHeight="1">
      <c r="B934" s="65"/>
      <c r="C934" s="65"/>
      <c r="D934" s="65"/>
      <c r="E934" s="66"/>
      <c r="F934" s="65"/>
      <c r="G934" s="67"/>
    </row>
    <row r="935" ht="15.75" customHeight="1">
      <c r="B935" s="65"/>
      <c r="C935" s="65"/>
      <c r="D935" s="65"/>
      <c r="E935" s="66"/>
      <c r="F935" s="65"/>
      <c r="G935" s="67"/>
    </row>
    <row r="936" ht="15.75" customHeight="1">
      <c r="B936" s="65"/>
      <c r="C936" s="65"/>
      <c r="D936" s="65"/>
      <c r="E936" s="66"/>
      <c r="F936" s="65"/>
      <c r="G936" s="67"/>
    </row>
    <row r="937" ht="15.75" customHeight="1">
      <c r="B937" s="65"/>
      <c r="C937" s="65"/>
      <c r="D937" s="65"/>
      <c r="E937" s="66"/>
      <c r="F937" s="65"/>
      <c r="G937" s="67"/>
    </row>
    <row r="938" ht="15.75" customHeight="1">
      <c r="B938" s="65"/>
      <c r="C938" s="65"/>
      <c r="D938" s="65"/>
      <c r="E938" s="66"/>
      <c r="F938" s="65"/>
      <c r="G938" s="67"/>
    </row>
    <row r="939" ht="15.75" customHeight="1">
      <c r="B939" s="65"/>
      <c r="C939" s="65"/>
      <c r="D939" s="65"/>
      <c r="E939" s="66"/>
      <c r="F939" s="65"/>
      <c r="G939" s="67"/>
    </row>
    <row r="940" ht="15.75" customHeight="1">
      <c r="B940" s="65"/>
      <c r="C940" s="65"/>
      <c r="D940" s="65"/>
      <c r="E940" s="66"/>
      <c r="F940" s="65"/>
      <c r="G940" s="67"/>
    </row>
    <row r="941" ht="15.75" customHeight="1">
      <c r="B941" s="65"/>
      <c r="C941" s="65"/>
      <c r="D941" s="65"/>
      <c r="E941" s="66"/>
      <c r="F941" s="65"/>
      <c r="G941" s="67"/>
    </row>
    <row r="942" ht="15.75" customHeight="1">
      <c r="B942" s="65"/>
      <c r="C942" s="65"/>
      <c r="D942" s="65"/>
      <c r="E942" s="66"/>
      <c r="F942" s="65"/>
      <c r="G942" s="67"/>
    </row>
    <row r="943" ht="15.75" customHeight="1">
      <c r="B943" s="65"/>
      <c r="C943" s="65"/>
      <c r="D943" s="65"/>
      <c r="E943" s="66"/>
      <c r="F943" s="65"/>
      <c r="G943" s="67"/>
    </row>
    <row r="944" ht="15.75" customHeight="1">
      <c r="B944" s="65"/>
      <c r="C944" s="65"/>
      <c r="D944" s="65"/>
      <c r="E944" s="66"/>
      <c r="F944" s="65"/>
      <c r="G944" s="67"/>
    </row>
    <row r="945" ht="15.75" customHeight="1">
      <c r="B945" s="65"/>
      <c r="C945" s="65"/>
      <c r="D945" s="65"/>
      <c r="E945" s="66"/>
      <c r="F945" s="65"/>
      <c r="G945" s="67"/>
    </row>
    <row r="946" ht="15.75" customHeight="1">
      <c r="B946" s="65"/>
      <c r="C946" s="65"/>
      <c r="D946" s="65"/>
      <c r="E946" s="66"/>
      <c r="F946" s="65"/>
      <c r="G946" s="67"/>
    </row>
    <row r="947" ht="15.75" customHeight="1">
      <c r="B947" s="65"/>
      <c r="C947" s="65"/>
      <c r="D947" s="65"/>
      <c r="E947" s="66"/>
      <c r="F947" s="65"/>
      <c r="G947" s="67"/>
    </row>
    <row r="948" ht="15.75" customHeight="1">
      <c r="B948" s="65"/>
      <c r="C948" s="65"/>
      <c r="D948" s="65"/>
      <c r="E948" s="66"/>
      <c r="F948" s="65"/>
      <c r="G948" s="67"/>
    </row>
    <row r="949" ht="15.75" customHeight="1">
      <c r="B949" s="65"/>
      <c r="C949" s="65"/>
      <c r="D949" s="65"/>
      <c r="E949" s="66"/>
      <c r="F949" s="65"/>
      <c r="G949" s="67"/>
    </row>
    <row r="950" ht="15.75" customHeight="1">
      <c r="B950" s="65"/>
      <c r="C950" s="65"/>
      <c r="D950" s="65"/>
      <c r="E950" s="66"/>
      <c r="F950" s="65"/>
      <c r="G950" s="67"/>
    </row>
    <row r="951" ht="15.75" customHeight="1">
      <c r="B951" s="65"/>
      <c r="C951" s="65"/>
      <c r="D951" s="65"/>
      <c r="E951" s="66"/>
      <c r="F951" s="65"/>
      <c r="G951" s="67"/>
    </row>
    <row r="952" ht="15.75" customHeight="1">
      <c r="B952" s="65"/>
      <c r="C952" s="65"/>
      <c r="D952" s="65"/>
      <c r="E952" s="66"/>
      <c r="F952" s="65"/>
      <c r="G952" s="67"/>
    </row>
    <row r="953" ht="15.75" customHeight="1">
      <c r="B953" s="65"/>
      <c r="C953" s="65"/>
      <c r="D953" s="65"/>
      <c r="E953" s="66"/>
      <c r="F953" s="65"/>
      <c r="G953" s="67"/>
    </row>
    <row r="954" ht="15.75" customHeight="1">
      <c r="B954" s="65"/>
      <c r="C954" s="65"/>
      <c r="D954" s="65"/>
      <c r="E954" s="66"/>
      <c r="F954" s="65"/>
      <c r="G954" s="67"/>
    </row>
    <row r="955" ht="15.75" customHeight="1">
      <c r="B955" s="65"/>
      <c r="C955" s="65"/>
      <c r="D955" s="65"/>
      <c r="E955" s="66"/>
      <c r="F955" s="65"/>
      <c r="G955" s="67"/>
    </row>
    <row r="956" ht="15.75" customHeight="1">
      <c r="B956" s="65"/>
      <c r="C956" s="65"/>
      <c r="D956" s="65"/>
      <c r="E956" s="66"/>
      <c r="F956" s="65"/>
      <c r="G956" s="67"/>
    </row>
    <row r="957" ht="15.75" customHeight="1">
      <c r="B957" s="65"/>
      <c r="C957" s="65"/>
      <c r="D957" s="65"/>
      <c r="E957" s="66"/>
      <c r="F957" s="65"/>
      <c r="G957" s="67"/>
    </row>
    <row r="958" ht="15.75" customHeight="1">
      <c r="B958" s="65"/>
      <c r="C958" s="65"/>
      <c r="D958" s="65"/>
      <c r="E958" s="66"/>
      <c r="F958" s="65"/>
      <c r="G958" s="67"/>
    </row>
    <row r="959" ht="15.75" customHeight="1">
      <c r="B959" s="65"/>
      <c r="C959" s="65"/>
      <c r="D959" s="65"/>
      <c r="E959" s="66"/>
      <c r="F959" s="65"/>
      <c r="G959" s="67"/>
    </row>
    <row r="960" ht="15.75" customHeight="1">
      <c r="B960" s="65"/>
      <c r="C960" s="65"/>
      <c r="D960" s="65"/>
      <c r="E960" s="66"/>
      <c r="F960" s="65"/>
      <c r="G960" s="67"/>
    </row>
    <row r="961" ht="15.75" customHeight="1">
      <c r="B961" s="65"/>
      <c r="C961" s="65"/>
      <c r="D961" s="65"/>
      <c r="E961" s="66"/>
      <c r="F961" s="65"/>
      <c r="G961" s="67"/>
    </row>
    <row r="962" ht="15.75" customHeight="1">
      <c r="B962" s="65"/>
      <c r="C962" s="65"/>
      <c r="D962" s="65"/>
      <c r="E962" s="66"/>
      <c r="F962" s="65"/>
      <c r="G962" s="67"/>
    </row>
    <row r="963" ht="15.75" customHeight="1">
      <c r="B963" s="65"/>
      <c r="C963" s="65"/>
      <c r="D963" s="65"/>
      <c r="E963" s="66"/>
      <c r="F963" s="65"/>
      <c r="G963" s="67"/>
    </row>
    <row r="964" ht="15.75" customHeight="1">
      <c r="B964" s="65"/>
      <c r="C964" s="65"/>
      <c r="D964" s="65"/>
      <c r="E964" s="66"/>
      <c r="F964" s="65"/>
      <c r="G964" s="67"/>
    </row>
    <row r="965" ht="15.75" customHeight="1">
      <c r="B965" s="65"/>
      <c r="C965" s="65"/>
      <c r="D965" s="65"/>
      <c r="E965" s="66"/>
      <c r="F965" s="65"/>
      <c r="G965" s="67"/>
    </row>
    <row r="966" ht="15.75" customHeight="1">
      <c r="B966" s="65"/>
      <c r="C966" s="65"/>
      <c r="D966" s="65"/>
      <c r="E966" s="66"/>
      <c r="F966" s="65"/>
      <c r="G966" s="67"/>
    </row>
    <row r="967" ht="15.75" customHeight="1">
      <c r="B967" s="65"/>
      <c r="C967" s="65"/>
      <c r="D967" s="65"/>
      <c r="E967" s="66"/>
      <c r="F967" s="65"/>
      <c r="G967" s="67"/>
    </row>
    <row r="968" ht="15.75" customHeight="1">
      <c r="B968" s="65"/>
      <c r="C968" s="65"/>
      <c r="D968" s="65"/>
      <c r="E968" s="66"/>
      <c r="F968" s="65"/>
      <c r="G968" s="67"/>
    </row>
    <row r="969" ht="15.75" customHeight="1">
      <c r="B969" s="65"/>
      <c r="C969" s="65"/>
      <c r="D969" s="65"/>
      <c r="E969" s="66"/>
      <c r="F969" s="65"/>
      <c r="G969" s="67"/>
    </row>
    <row r="970" ht="15.75" customHeight="1">
      <c r="B970" s="65"/>
      <c r="C970" s="65"/>
      <c r="D970" s="65"/>
      <c r="E970" s="66"/>
      <c r="F970" s="65"/>
      <c r="G970" s="67"/>
    </row>
    <row r="971" ht="15.75" customHeight="1">
      <c r="B971" s="65"/>
      <c r="C971" s="65"/>
      <c r="D971" s="65"/>
      <c r="E971" s="66"/>
      <c r="F971" s="65"/>
      <c r="G971" s="67"/>
    </row>
    <row r="972" ht="15.75" customHeight="1">
      <c r="B972" s="65"/>
      <c r="C972" s="65"/>
      <c r="D972" s="65"/>
      <c r="E972" s="66"/>
      <c r="F972" s="65"/>
      <c r="G972" s="67"/>
    </row>
    <row r="973" ht="15.75" customHeight="1">
      <c r="B973" s="65"/>
      <c r="C973" s="65"/>
      <c r="D973" s="65"/>
      <c r="E973" s="66"/>
      <c r="F973" s="65"/>
      <c r="G973" s="67"/>
    </row>
    <row r="974" ht="15.75" customHeight="1">
      <c r="B974" s="65"/>
      <c r="C974" s="65"/>
      <c r="D974" s="65"/>
      <c r="E974" s="66"/>
      <c r="F974" s="65"/>
      <c r="G974" s="67"/>
    </row>
    <row r="975" ht="15.75" customHeight="1">
      <c r="B975" s="65"/>
      <c r="C975" s="65"/>
      <c r="D975" s="65"/>
      <c r="E975" s="66"/>
      <c r="F975" s="65"/>
      <c r="G975" s="67"/>
    </row>
    <row r="976" ht="15.75" customHeight="1">
      <c r="B976" s="65"/>
      <c r="C976" s="65"/>
      <c r="D976" s="65"/>
      <c r="E976" s="66"/>
      <c r="F976" s="65"/>
      <c r="G976" s="67"/>
    </row>
    <row r="977" ht="15.75" customHeight="1">
      <c r="B977" s="65"/>
      <c r="C977" s="65"/>
      <c r="D977" s="65"/>
      <c r="E977" s="66"/>
      <c r="F977" s="65"/>
      <c r="G977" s="67"/>
    </row>
    <row r="978" ht="15.75" customHeight="1">
      <c r="B978" s="65"/>
      <c r="C978" s="65"/>
      <c r="D978" s="65"/>
      <c r="E978" s="66"/>
      <c r="F978" s="65"/>
      <c r="G978" s="67"/>
    </row>
    <row r="979" ht="15.75" customHeight="1">
      <c r="B979" s="65"/>
      <c r="C979" s="65"/>
      <c r="D979" s="65"/>
      <c r="E979" s="66"/>
      <c r="F979" s="65"/>
      <c r="G979" s="67"/>
    </row>
    <row r="980" ht="15.75" customHeight="1">
      <c r="B980" s="65"/>
      <c r="C980" s="65"/>
      <c r="D980" s="65"/>
      <c r="E980" s="66"/>
      <c r="F980" s="65"/>
      <c r="G980" s="67"/>
    </row>
    <row r="981" ht="15.75" customHeight="1">
      <c r="B981" s="65"/>
      <c r="C981" s="65"/>
      <c r="D981" s="65"/>
      <c r="E981" s="66"/>
      <c r="F981" s="65"/>
      <c r="G981" s="67"/>
    </row>
    <row r="982" ht="15.75" customHeight="1">
      <c r="B982" s="65"/>
      <c r="C982" s="65"/>
      <c r="D982" s="65"/>
      <c r="E982" s="66"/>
      <c r="F982" s="65"/>
      <c r="G982" s="67"/>
    </row>
    <row r="983" ht="15.75" customHeight="1">
      <c r="B983" s="65"/>
      <c r="C983" s="65"/>
      <c r="D983" s="65"/>
      <c r="E983" s="66"/>
      <c r="F983" s="65"/>
      <c r="G983" s="67"/>
    </row>
    <row r="984" ht="15.75" customHeight="1">
      <c r="B984" s="65"/>
      <c r="C984" s="65"/>
      <c r="D984" s="65"/>
      <c r="E984" s="66"/>
      <c r="F984" s="65"/>
      <c r="G984" s="67"/>
    </row>
    <row r="985" ht="15.75" customHeight="1">
      <c r="B985" s="65"/>
      <c r="C985" s="65"/>
      <c r="D985" s="65"/>
      <c r="E985" s="66"/>
      <c r="F985" s="65"/>
      <c r="G985" s="67"/>
    </row>
    <row r="986" ht="15.75" customHeight="1">
      <c r="B986" s="65"/>
      <c r="C986" s="65"/>
      <c r="D986" s="65"/>
      <c r="E986" s="66"/>
      <c r="F986" s="65"/>
      <c r="G986" s="67"/>
    </row>
    <row r="987" ht="15.75" customHeight="1">
      <c r="B987" s="65"/>
      <c r="C987" s="65"/>
      <c r="D987" s="65"/>
      <c r="E987" s="66"/>
      <c r="F987" s="65"/>
      <c r="G987" s="67"/>
    </row>
    <row r="988" ht="15.75" customHeight="1">
      <c r="B988" s="65"/>
      <c r="C988" s="65"/>
      <c r="D988" s="65"/>
      <c r="E988" s="66"/>
      <c r="F988" s="65"/>
      <c r="G988" s="67"/>
    </row>
    <row r="989" ht="15.75" customHeight="1">
      <c r="B989" s="65"/>
      <c r="C989" s="65"/>
      <c r="D989" s="65"/>
      <c r="E989" s="66"/>
      <c r="F989" s="65"/>
      <c r="G989" s="67"/>
    </row>
    <row r="990" ht="15.75" customHeight="1">
      <c r="B990" s="65"/>
      <c r="C990" s="65"/>
      <c r="D990" s="65"/>
      <c r="E990" s="66"/>
      <c r="F990" s="65"/>
      <c r="G990" s="67"/>
    </row>
    <row r="991" ht="15.75" customHeight="1">
      <c r="B991" s="65"/>
      <c r="C991" s="65"/>
      <c r="D991" s="65"/>
      <c r="E991" s="66"/>
      <c r="F991" s="65"/>
      <c r="G991" s="67"/>
    </row>
    <row r="992" ht="15.75" customHeight="1">
      <c r="B992" s="65"/>
      <c r="C992" s="65"/>
      <c r="D992" s="65"/>
      <c r="E992" s="66"/>
      <c r="F992" s="65"/>
      <c r="G992" s="67"/>
    </row>
    <row r="993" ht="15.75" customHeight="1">
      <c r="B993" s="65"/>
      <c r="C993" s="65"/>
      <c r="D993" s="65"/>
      <c r="E993" s="66"/>
      <c r="F993" s="65"/>
      <c r="G993" s="67"/>
    </row>
  </sheetData>
  <autoFilter ref="$C$1:$C$99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2025-01-08T22:15:00Z</dcterms:created>
  <dc:creator>Supervisor Se 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F67C4A9D4D8240C4BF054B2E08676FC6_13</vt:lpwstr>
  </property>
  <property fmtid="{D5CDD505-2E9C-101B-9397-08002B2CF9AE}" pid="3" name="KSOProductBuildVer">
    <vt:lpwstr>3082-12.2.0.19805</vt:lpwstr>
  </property>
</Properties>
</file>